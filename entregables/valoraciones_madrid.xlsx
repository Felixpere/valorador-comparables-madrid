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Validación 2018" sheetId="2" state="visible" r:id="rId2"/>
    <sheet name="Valoraciones" sheetId="3" state="visible" r:id="rId3"/>
    <sheet name="Por distrito" sheetId="4" state="visible" r:id="rId4"/>
    <sheet name="Umbral de aviso" sheetId="5" state="visible" r:id="rId5"/>
    <sheet name="Calidad del dato" sheetId="6" state="visible" r:id="rId6"/>
    <sheet name="Supuestos y fuentes" sheetId="7" state="visible" r:id="rId7"/>
  </sheets>
  <definedNames>
    <definedName name="_xlnm._FilterDatabase" localSheetId="2" hidden="1">'Valoraciones'!$A$1:$O$1997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 &quot;€&quot;"/>
    <numFmt numFmtId="167" formatCode="#,##0 &quot;€/m²&quot;"/>
    <numFmt numFmtId="168" formatCode="0.0%"/>
    <numFmt numFmtId="169" formatCode="0.0"/>
    <numFmt numFmtId="170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4"/>
    </font>
    <font>
      <name val="Arial"/>
      <i val="1"/>
      <color rgb="007F7F7F"/>
      <sz val="9"/>
    </font>
    <font>
      <name val="Arial"/>
      <b val="1"/>
      <sz val="10"/>
    </font>
    <font>
      <name val="Arial"/>
      <b val="1"/>
      <color rgb="001F3A5F"/>
      <sz val="11"/>
    </font>
    <font>
      <name val="Arial"/>
      <i val="1"/>
      <color rgb="009C2A2A"/>
      <sz val="9"/>
    </font>
    <font>
      <name val="Arial"/>
      <b val="1"/>
      <color rgb="008A6D00"/>
      <sz val="10"/>
    </font>
    <font>
      <name val="Arial"/>
      <b val="1"/>
      <color rgb="009C2A2A"/>
      <sz val="10"/>
    </font>
    <font>
      <name val="Arial"/>
      <b val="1"/>
      <color rgb="001F3A5F"/>
      <sz val="10"/>
    </font>
    <font>
      <name val="Arial"/>
      <b val="1"/>
      <color rgb="009C2A2A"/>
      <sz val="9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5" fillId="0" borderId="1" pivotButton="0" quotePrefix="0" xfId="0"/>
    <xf numFmtId="168" fontId="5" fillId="0" borderId="1" pivotButton="0" quotePrefix="0" xfId="0"/>
    <xf numFmtId="167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1" fontId="5" fillId="0" borderId="0" pivotButton="0" quotePrefix="0" xfId="0"/>
    <xf numFmtId="0" fontId="7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3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0" fontId="2" fillId="0" borderId="1" applyAlignment="1" pivotButton="0" quotePrefix="0" xfId="0">
      <alignment vertical="top" wrapText="1"/>
    </xf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9" fontId="2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RealFicha" displayName="tblRealFicha" ref="A6:B10" headerRowCount="1">
  <autoFilter ref="A6:B10"/>
  <tableColumns count="2">
    <tableColumn id="1" name="Concepto"/>
    <tableColumn id="2" name="Valor"/>
  </tableColumns>
  <tableStyleInfo name="TableStyleLight9" showRowStripes="1"/>
</table>
</file>

<file path=xl/tables/table2.xml><?xml version="1.0" encoding="utf-8"?>
<table xmlns="http://schemas.openxmlformats.org/spreadsheetml/2006/main" id="2" name="tblRealMetodos" displayName="tblRealMetodos" ref="A13:E16" headerRowCount="1">
  <autoFilter ref="A13:E16"/>
  <tableColumns count="5">
    <tableColumn id="1" name="Método"/>
    <tableColumn id="2" name="Error mediano"/>
    <tableColumn id="3" name="Dentro de ±10 %"/>
    <tableColumn id="4" name="Dentro de ±20 %"/>
    <tableColumn id="5" name="Sesgo mediano"/>
  </tableColumns>
  <tableStyleInfo name="TableStyleLight9" showRowStripes="1"/>
</table>
</file>

<file path=xl/tables/table3.xml><?xml version="1.0" encoding="utf-8"?>
<table xmlns="http://schemas.openxmlformats.org/spreadsheetml/2006/main" id="3" name="tblRealFiabilidad" displayName="tblRealFiabilidad" ref="A20:B23" headerRowCount="1">
  <autoFilter ref="A20:B23"/>
  <tableColumns count="2">
    <tableColumn id="1" name="Fiabilidad"/>
    <tableColumn id="2" name="Error mediano"/>
  </tableColumns>
  <tableStyleInfo name="TableStyleLight9" showRowStripes="1"/>
</table>
</file>

<file path=xl/tables/table4.xml><?xml version="1.0" encoding="utf-8"?>
<table xmlns="http://schemas.openxmlformats.org/spreadsheetml/2006/main" id="4" name="tblRealCoeficientes" displayName="tblRealCoeficientes" ref="A27:C45" headerRowCount="1">
  <autoFilter ref="A27:C45"/>
  <tableColumns count="3">
    <tableColumn id="1" name="Atributo"/>
    <tableColumn id="2" name="Efecto sobre €/m²"/>
    <tableColumn id="3" name="Coeficiente (log)"/>
  </tableColumns>
  <tableStyleInfo name="TableStyleLight9" showRowStripes="1"/>
</table>
</file>

<file path=xl/tables/table5.xml><?xml version="1.0" encoding="utf-8"?>
<table xmlns="http://schemas.openxmlformats.org/spreadsheetml/2006/main" id="5" name="tblRealVeredicto" displayName="tblRealVeredicto" ref="A49:B51" headerRowCount="1">
  <autoFilter ref="A49:B51"/>
  <tableColumns count="2">
    <tableColumn id="1" name="Coeficiente"/>
    <tableColumn id="2" name="Veredicto tras verificarlo"/>
  </tableColumns>
  <tableStyleInfo name="TableStyleLight9" showRowStripes="1"/>
</table>
</file>

<file path=xl/tables/table6.xml><?xml version="1.0" encoding="utf-8"?>
<table xmlns="http://schemas.openxmlformats.org/spreadsheetml/2006/main" id="6" name="tblRealLimitaciones" displayName="tblRealLimitaciones" ref="A54:A58" headerRowCount="1">
  <autoFilter ref="A54:A58"/>
  <tableColumns count="1">
    <tableColumn id="1" name="Limitación"/>
  </tableColumns>
  <tableStyleInfo name="TableStyleLight9" showRowStripes="1"/>
</table>
</file>

<file path=xl/tables/table7.xml><?xml version="1.0" encoding="utf-8"?>
<table xmlns="http://schemas.openxmlformats.org/spreadsheetml/2006/main" id="7" name="tblValoraciones" displayName="tblValoraciones" ref="A1:O1997" headerRowCount="1">
  <autoFilter ref="A1:O1997"/>
  <tableColumns count="15">
    <tableColumn id="1" name="Referencia"/>
    <tableColumn id="2" name="Fecha"/>
    <tableColumn id="3" name="Distrito"/>
    <tableColumn id="4" name="Superficie (m²)"/>
    <tableColumn id="5" name="Estado"/>
    <tableColumn id="6" name="Precio pedido"/>
    <tableColumn id="7" name="€/m² pedido"/>
    <tableColumn id="8" name="Valor estimado"/>
    <tableColumn id="9" name="€/m² comparables"/>
    <tableColumn id="10" name="Desviación"/>
    <tableColumn id="11" name="Score"/>
    <tableColumn id="12" name="Nº comparables"/>
    <tableColumn id="13" name="Fiabilidad"/>
    <tableColumn id="14" name="Clasificación"/>
    <tableColumn id="15" name="Motivo si no valorabl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16" customWidth="1" min="4" max="4"/>
    <col width="14" customWidth="1" min="5" max="5"/>
    <col width="14" customWidth="1" min="6" max="6"/>
  </cols>
  <sheetData>
    <row r="1" ht="22" customHeight="1">
      <c r="A1" s="1" t="inlineStr">
        <is>
          <t>Valoración por comparables — mercado residencial de Madrid</t>
        </is>
      </c>
    </row>
    <row r="2">
      <c r="A2" s="2" t="inlineStr">
        <is>
          <t>Demo técnica. Los anuncios son sintéticos; los precios de referencia por distrito son reales. Ver la hoja «Supuestos y fuentes».</t>
        </is>
      </c>
    </row>
    <row r="4" ht="30" customHeight="1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Inmuebles procesados</t>
        </is>
      </c>
      <c r="B5" s="5">
        <f>COUNTA(Valoraciones!$A$2:$A$1997)</f>
        <v/>
      </c>
    </row>
    <row r="6">
      <c r="A6" s="4" t="inlineStr">
        <is>
          <t>Con valoración emitida</t>
        </is>
      </c>
      <c r="B6" s="5">
        <f>COUNTIF(Valoraciones!$N$2:$N$1997,"&lt;&gt;no valorable")</f>
        <v/>
      </c>
    </row>
    <row r="7">
      <c r="A7" s="4" t="inlineStr">
        <is>
          <t>Cobertura</t>
        </is>
      </c>
      <c r="B7" s="6">
        <f>IFERROR(COUNTIF(Valoraciones!$N$2:$N$1997,"&lt;&gt;no valorable")/COUNTA(Valoraciones!$A$2:$A$1997),0)</f>
        <v/>
      </c>
    </row>
    <row r="8">
      <c r="A8" s="4" t="inlineStr">
        <is>
          <t>Por debajo de comparables</t>
        </is>
      </c>
      <c r="B8" s="5">
        <f>COUNTIF(Valoraciones!$N$2:$N$1997,"por debajo de comparables")</f>
        <v/>
      </c>
    </row>
    <row r="9">
      <c r="A9" s="4" t="inlineStr">
        <is>
          <t>Por encima de comparables</t>
        </is>
      </c>
      <c r="B9" s="5">
        <f>COUNTIF(Valoraciones!$N$2:$N$1997,"por encima de comparables")</f>
        <v/>
      </c>
    </row>
    <row r="10">
      <c r="A10" s="4" t="inlineStr">
        <is>
          <t>Desviación mediana</t>
        </is>
      </c>
      <c r="B10" s="6">
        <f>IFERROR(MEDIAN(Valoraciones!$J$2:$J$1997),0)</f>
        <v/>
      </c>
    </row>
    <row r="11">
      <c r="A11" s="4" t="inlineStr">
        <is>
          <t>€/m² pedido, mediana</t>
        </is>
      </c>
      <c r="B11" s="7">
        <f>IFERROR(MEDIAN(Valoraciones!$G$2:$G$1997),0)</f>
        <v/>
      </c>
    </row>
    <row r="12">
      <c r="A12" s="4" t="inlineStr">
        <is>
          <t>Valor total de la cartera analizada</t>
        </is>
      </c>
      <c r="B12" s="8">
        <f>SUM(Valoraciones!$F$2:$F$1997)</f>
        <v/>
      </c>
    </row>
    <row r="14">
      <c r="A14" s="9" t="inlineStr">
        <is>
          <t>Calidad del proceso (medido sobre corpus sintético)</t>
        </is>
      </c>
    </row>
    <row r="15" ht="30" customHeight="1">
      <c r="A15" s="3" t="inlineStr">
        <is>
          <t>Indicador</t>
        </is>
      </c>
      <c r="B15" s="3" t="inlineStr">
        <is>
          <t>Valor</t>
        </is>
      </c>
    </row>
    <row r="16">
      <c r="A16" s="10" t="inlineStr">
        <is>
          <t>Campos extraídos correctamente — llm:claude-haiku-4-5</t>
        </is>
      </c>
      <c r="B16" s="11" t="n">
        <v>1</v>
      </c>
    </row>
    <row r="17">
      <c r="A17" s="10" t="inlineStr">
        <is>
          <t>Campos extraídos correctamente — reglas</t>
        </is>
      </c>
      <c r="B17" s="11" t="n">
        <v>0.9801</v>
      </c>
    </row>
    <row r="18">
      <c r="A18" s="10" t="inlineStr">
        <is>
          <t>Anuncios sin ningún error — llm:claude-haiku-4-5</t>
        </is>
      </c>
      <c r="B18" s="11" t="n">
        <v>1</v>
      </c>
    </row>
    <row r="19">
      <c r="A19" s="10" t="inlineStr">
        <is>
          <t>Anuncios sin ningún error — reglas</t>
        </is>
      </c>
      <c r="B19" s="11" t="n">
        <v>0.8005</v>
      </c>
    </row>
    <row r="20">
      <c r="A20" s="10" t="inlineStr">
        <is>
          <t>Error mediano de valoración</t>
        </is>
      </c>
      <c r="B20" s="11" t="n">
        <v>0.09950000000000001</v>
      </c>
    </row>
    <row r="21">
      <c r="A21" s="10" t="inlineStr">
        <is>
          <t>Correlación desviación estimada / real</t>
        </is>
      </c>
      <c r="B21" s="12" t="n">
        <v>0.4552</v>
      </c>
    </row>
    <row r="22">
      <c r="A22" s="10" t="inlineStr">
        <is>
          <t>Inmuebles en sus propios comparables (debe ser 0)</t>
        </is>
      </c>
      <c r="B22" s="13" t="n">
        <v>0</v>
      </c>
    </row>
    <row r="23">
      <c r="A23" s="10" t="inlineStr">
        <is>
          <t>Comparables con fecha posterior (debe ser 0)</t>
        </is>
      </c>
      <c r="B23" s="13" t="n">
        <v>0</v>
      </c>
    </row>
    <row r="25">
      <c r="A25" s="9" t="inlineStr">
        <is>
          <t>Los dos motores sobre los mismos 25 anuncios</t>
        </is>
      </c>
    </row>
    <row r="26" ht="30" customHeight="1">
      <c r="A26" s="3" t="inlineStr">
        <is>
          <t>Motor de extracción</t>
        </is>
      </c>
      <c r="B26" s="3" t="inlineStr">
        <is>
          <t>Campos correctos</t>
        </is>
      </c>
      <c r="C26" s="3" t="inlineStr">
        <is>
          <t>Anuncios sin errores</t>
        </is>
      </c>
      <c r="D26" s="3" t="inlineStr">
        <is>
          <t>Campos fallados</t>
        </is>
      </c>
    </row>
    <row r="27">
      <c r="A27" s="10" t="inlineStr">
        <is>
          <t>llm:claude-haiku-4-5</t>
        </is>
      </c>
      <c r="B27" s="11" t="n">
        <v>1</v>
      </c>
      <c r="C27" s="11" t="n">
        <v>1</v>
      </c>
      <c r="D27" s="13" t="n">
        <v>0</v>
      </c>
    </row>
    <row r="28">
      <c r="A28" s="10" t="inlineStr">
        <is>
          <t>reglas</t>
        </is>
      </c>
      <c r="B28" s="11" t="n">
        <v>0.996</v>
      </c>
      <c r="C28" s="11" t="n">
        <v>0.96</v>
      </c>
      <c r="D28" s="13" t="n">
        <v>1</v>
      </c>
    </row>
    <row r="30" ht="58" customHeight="1">
      <c r="A30" s="14" t="inlineStr">
        <is>
          <t>Las reglas juegan en casa: sus expresiones regulares se escribieron mirando estas mismas cinco plantillas de texto. Su exactitud es sobreajuste de manual y no es extrapolable a formatos nuevos, que es justo donde un modelo de lenguaje no necesita que nadie toque el codigo. Con 25 anuncios y 10 campos son 250 observaciones por motor: una diferencia de uno o dos campos no distingue a nadie.</t>
        </is>
      </c>
    </row>
  </sheetData>
  <mergeCells count="3">
    <mergeCell ref="A2:F2"/>
    <mergeCell ref="A30:D3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6" customWidth="1" min="4" max="4"/>
    <col width="16" customWidth="1" min="5" max="5"/>
  </cols>
  <sheetData>
    <row r="1" ht="22" customHeight="1">
      <c r="A1" s="1" t="inlineStr">
        <is>
          <t>Validación con datos reales — idealista18, Madrid, 2018</t>
        </is>
      </c>
    </row>
    <row r="2" ht="52" customHeight="1">
      <c r="A2" s="15" t="inlineStr">
        <is>
          <t>DATOS DE 2018. Los niveles de precio de esta hoja no son los de hoy; lo que sigue siendo informativo es la estructura del mercado, no el nivel. Y lo que se mide es el PRECIO PEDIDO de un anuncio, NO el precio de cierre en escritura: el motor reproduce lo que pide un anuncio, no lo que vale el piso ni por cuánto se vendió.</t>
        </is>
      </c>
    </row>
    <row r="3" ht="42" customHeight="1">
      <c r="A3" s="16" t="inlineStr">
        <is>
          <t>Estas cifras NO son comparables con las del resto del libro, que mide el motor contra la verdad de terreno de un corpus sintético. Objetivos distintos medidos sobre datos distintos: no se suman, no se promedian y no van en el mismo indicador.</t>
        </is>
      </c>
    </row>
    <row r="5">
      <c r="A5" s="9" t="inlineStr">
        <is>
          <t>Cómo está montada la validación</t>
        </is>
      </c>
    </row>
    <row r="6" ht="30" customHeight="1">
      <c r="A6" s="3" t="inlineStr">
        <is>
          <t>Concepto</t>
        </is>
      </c>
      <c r="B6" s="3" t="inlineStr">
        <is>
          <t>Valor</t>
        </is>
      </c>
    </row>
    <row r="7">
      <c r="A7" s="4" t="inlineStr">
        <is>
          <t>Anuncios utilizables</t>
        </is>
      </c>
      <c r="B7" s="17" t="n">
        <v>75476</v>
      </c>
    </row>
    <row r="8">
      <c r="A8" s="4" t="inlineStr">
        <is>
          <t>Conjunto de comparables (pool)</t>
        </is>
      </c>
      <c r="B8" s="17" t="n">
        <v>52833</v>
      </c>
    </row>
    <row r="9">
      <c r="A9" s="4" t="inlineStr">
        <is>
          <t>Conjunto de evaluación (nunca visto)</t>
        </is>
      </c>
      <c r="B9" s="17" t="n">
        <v>22643</v>
      </c>
    </row>
    <row r="10">
      <c r="A10" s="4" t="inlineStr">
        <is>
          <t>Cobertura</t>
        </is>
      </c>
      <c r="B10" s="18" t="n">
        <v>0.9614</v>
      </c>
    </row>
    <row r="12">
      <c r="A12" s="9" t="inlineStr">
        <is>
          <t>El motor contra dos líneas base más simples</t>
        </is>
      </c>
    </row>
    <row r="13" ht="30" customHeight="1">
      <c r="A13" s="3" t="inlineStr">
        <is>
          <t>Método</t>
        </is>
      </c>
      <c r="B13" s="3" t="inlineStr">
        <is>
          <t>Error mediano</t>
        </is>
      </c>
      <c r="C13" s="3" t="inlineStr">
        <is>
          <t>Dentro de ±10 %</t>
        </is>
      </c>
      <c r="D13" s="3" t="inlineStr">
        <is>
          <t>Dentro de ±20 %</t>
        </is>
      </c>
      <c r="E13" s="3" t="inlineStr">
        <is>
          <t>Sesgo mediano</t>
        </is>
      </c>
    </row>
    <row r="14">
      <c r="A14" s="4" t="inlineStr">
        <is>
          <t>Comparables por barrio</t>
        </is>
      </c>
      <c r="B14" s="18" t="n">
        <v>0.12</v>
      </c>
      <c r="C14" s="18" t="n">
        <v>0.4299</v>
      </c>
      <c r="D14" s="18" t="n">
        <v>0.7166</v>
      </c>
      <c r="E14" s="18" t="n">
        <v>-0.0007</v>
      </c>
    </row>
    <row r="15">
      <c r="A15" s="4" t="inlineStr">
        <is>
          <t>Mediana del barrio y trimestre</t>
        </is>
      </c>
      <c r="B15" s="18" t="n">
        <v>0.1518</v>
      </c>
      <c r="C15" s="18" t="n">
        <v>0.3468</v>
      </c>
      <c r="D15" s="18" t="n">
        <v>0.6215000000000001</v>
      </c>
      <c r="E15" s="18" t="n">
        <v>-0.0002</v>
      </c>
    </row>
    <row r="16">
      <c r="A16" s="4" t="inlineStr">
        <is>
          <t>Mediana de la ciudad</t>
        </is>
      </c>
      <c r="B16" s="18" t="n">
        <v>0.3431</v>
      </c>
      <c r="C16" s="18" t="n">
        <v>0.1329</v>
      </c>
      <c r="D16" s="18" t="n">
        <v>0.2797</v>
      </c>
      <c r="E16" s="18" t="n">
        <v>-0.0152</v>
      </c>
    </row>
    <row r="17" ht="28" customHeight="1">
      <c r="A17" s="16" t="inlineStr">
        <is>
          <t>Leído con honestidad: la mayor parte del trabajo la hace saber en qué barrio está el piso. El motor mejora la mediana del barrio, pero no la deja atrás.</t>
        </is>
      </c>
    </row>
    <row r="19">
      <c r="A19" s="9" t="inlineStr">
        <is>
          <t>La etiqueta de fiabilidad, con datos reales</t>
        </is>
      </c>
    </row>
    <row r="20" ht="30" customHeight="1">
      <c r="A20" s="3" t="inlineStr">
        <is>
          <t>Fiabilidad</t>
        </is>
      </c>
      <c r="B20" s="3" t="inlineStr">
        <is>
          <t>Error mediano</t>
        </is>
      </c>
    </row>
    <row r="21">
      <c r="A21" s="4" t="inlineStr">
        <is>
          <t>Alta</t>
        </is>
      </c>
      <c r="B21" s="18" t="n">
        <v>0.1037</v>
      </c>
    </row>
    <row r="22">
      <c r="A22" s="4" t="inlineStr">
        <is>
          <t>Media</t>
        </is>
      </c>
      <c r="B22" s="18" t="n">
        <v>0.1273</v>
      </c>
    </row>
    <row r="23">
      <c r="A23" s="4" t="inlineStr">
        <is>
          <t>Baja</t>
        </is>
      </c>
      <c r="B23" s="18" t="n">
        <v>0.1593</v>
      </c>
    </row>
    <row r="24" ht="28" customHeight="1">
      <c r="A24" s="16" t="inlineStr">
        <is>
          <t>Con el corpus sintético esta etiqueta no discriminaba y quedó escrito como fallo abierto. Con datos reales sí discrimina.</t>
        </is>
      </c>
    </row>
    <row r="26">
      <c r="A26" s="9" t="inlineStr">
        <is>
          <t>Qué pesa en el precio por metro cuadrado</t>
        </is>
      </c>
    </row>
    <row r="27" ht="30" customHeight="1">
      <c r="A27" s="3" t="inlineStr">
        <is>
          <t>Atributo</t>
        </is>
      </c>
      <c r="B27" s="3" t="inlineStr">
        <is>
          <t>Efecto sobre €/m²</t>
        </is>
      </c>
      <c r="C27" s="3" t="inlineStr">
        <is>
          <t>Coeficiente (log)</t>
        </is>
      </c>
    </row>
    <row r="28">
      <c r="A28" s="4" t="inlineStr">
        <is>
          <t>Superficie (elasticidad del €/m²)</t>
        </is>
      </c>
      <c r="B28" s="18" t="n">
        <v>-0.1602</v>
      </c>
      <c r="C28" s="19" t="n">
        <v>-0.1746</v>
      </c>
    </row>
    <row r="29">
      <c r="A29" s="4" t="inlineStr">
        <is>
          <t>Obra nueva</t>
        </is>
      </c>
      <c r="B29" s="18" t="n">
        <v>0.1338</v>
      </c>
      <c r="C29" s="19" t="n">
        <v>0.1256</v>
      </c>
    </row>
    <row r="30">
      <c r="A30" s="4" t="inlineStr">
        <is>
          <t>Ascensor</t>
        </is>
      </c>
      <c r="B30" s="18" t="n">
        <v>0.1197</v>
      </c>
      <c r="C30" s="19" t="n">
        <v>0.1131</v>
      </c>
    </row>
    <row r="31">
      <c r="A31" s="4" t="inlineStr">
        <is>
          <t>Segunda mano a reformar</t>
        </is>
      </c>
      <c r="B31" s="18" t="n">
        <v>-0.0949</v>
      </c>
      <c r="C31" s="19" t="n">
        <v>-0.0997</v>
      </c>
    </row>
    <row r="32">
      <c r="A32" s="4" t="inlineStr">
        <is>
          <t>Aire acondicionado</t>
        </is>
      </c>
      <c r="B32" s="18" t="n">
        <v>0.06660000000000001</v>
      </c>
      <c r="C32" s="19" t="n">
        <v>0.0645</v>
      </c>
    </row>
    <row r="33">
      <c r="A33" s="4" t="inlineStr">
        <is>
          <t>Garaje</t>
        </is>
      </c>
      <c r="B33" s="18" t="n">
        <v>0.0602</v>
      </c>
      <c r="C33" s="19" t="n">
        <v>0.0585</v>
      </c>
    </row>
    <row r="34">
      <c r="A34" s="4" t="inlineStr">
        <is>
          <t>Piscina</t>
        </is>
      </c>
      <c r="B34" s="18" t="n">
        <v>0.0573</v>
      </c>
      <c r="C34" s="19" t="n">
        <v>0.0557</v>
      </c>
    </row>
    <row r="35">
      <c r="A35" s="4" t="inlineStr">
        <is>
          <t>Interior</t>
        </is>
      </c>
      <c r="B35" s="18" t="n">
        <v>-0.0429</v>
      </c>
      <c r="C35" s="19" t="n">
        <v>-0.0438</v>
      </c>
    </row>
    <row r="36">
      <c r="A36" s="4" t="inlineStr">
        <is>
          <t>Estudio</t>
        </is>
      </c>
      <c r="B36" s="18" t="n">
        <v>-0.0306</v>
      </c>
      <c r="C36" s="19" t="n">
        <v>-0.0311</v>
      </c>
    </row>
    <row r="37">
      <c r="A37" s="4" t="inlineStr">
        <is>
          <t>Trastero</t>
        </is>
      </c>
      <c r="B37" s="18" t="n">
        <v>0.0262</v>
      </c>
      <c r="C37" s="19" t="n">
        <v>0.0259</v>
      </c>
    </row>
    <row r="38">
      <c r="A38" s="4" t="inlineStr">
        <is>
          <t>Portero</t>
        </is>
      </c>
      <c r="B38" s="18" t="n">
        <v>0.0207</v>
      </c>
      <c r="C38" s="19" t="n">
        <v>0.0205</v>
      </c>
    </row>
    <row r="39">
      <c r="A39" s="4" t="inlineStr">
        <is>
          <t>Última planta</t>
        </is>
      </c>
      <c r="B39" s="18" t="n">
        <v>0.0143</v>
      </c>
      <c r="C39" s="19" t="n">
        <v>0.0142</v>
      </c>
    </row>
    <row r="40">
      <c r="A40" s="4" t="inlineStr">
        <is>
          <t>Jardín</t>
        </is>
      </c>
      <c r="B40" s="18" t="n">
        <v>-0.0139</v>
      </c>
      <c r="C40" s="19" t="n">
        <v>-0.014</v>
      </c>
    </row>
    <row r="41">
      <c r="A41" s="4" t="inlineStr">
        <is>
          <t>Planta (por planta)</t>
        </is>
      </c>
      <c r="B41" s="18" t="n">
        <v>0.0138</v>
      </c>
      <c r="C41" s="19" t="n">
        <v>0.0137</v>
      </c>
    </row>
    <row r="42">
      <c r="A42" s="4" t="inlineStr">
        <is>
          <t>Calidad catastral (por grado)</t>
        </is>
      </c>
      <c r="B42" s="18" t="n">
        <v>0.0138</v>
      </c>
      <c r="C42" s="19" t="n">
        <v>0.0137</v>
      </c>
    </row>
    <row r="43">
      <c r="A43" s="4" t="inlineStr">
        <is>
          <t>Dúplex</t>
        </is>
      </c>
      <c r="B43" s="18" t="n">
        <v>-0.008500000000000001</v>
      </c>
      <c r="C43" s="19" t="n">
        <v>-0.008500000000000001</v>
      </c>
    </row>
    <row r="44">
      <c r="A44" s="4" t="inlineStr">
        <is>
          <t>Terraza</t>
        </is>
      </c>
      <c r="B44" s="18" t="n">
        <v>0.0051</v>
      </c>
      <c r="C44" s="19" t="n">
        <v>0.0051</v>
      </c>
    </row>
    <row r="45">
      <c r="A45" s="4" t="inlineStr">
        <is>
          <t>Antigüedad (por año)</t>
        </is>
      </c>
      <c r="B45" s="18" t="n">
        <v>0.0004</v>
      </c>
      <c r="C45" s="19" t="n">
        <v>0.0004</v>
      </c>
    </row>
    <row r="46" ht="28" customHeight="1">
      <c r="A46" s="16" t="inlineStr">
        <is>
          <t>Estimados sobre el pool y centrados por barrio y trimestre, así que miden el atributo aislado del efecto de la zona. La columna de efecto es exp(coeficiente) − 1.</t>
        </is>
      </c>
    </row>
    <row r="48">
      <c r="A48" s="9" t="inlineStr">
        <is>
          <t>Los dos coeficientes que estaban en cuarentena</t>
        </is>
      </c>
    </row>
    <row r="49" ht="30" customHeight="1">
      <c r="A49" s="3" t="inlineStr">
        <is>
          <t>Coeficiente</t>
        </is>
      </c>
      <c r="B49" s="3" t="inlineStr">
        <is>
          <t>Veredicto tras verificarlo</t>
        </is>
      </c>
    </row>
    <row r="50" ht="76" customHeight="1">
      <c r="A50" s="4" t="inlineStr">
        <is>
          <t>Calidad catastral (por grado)</t>
        </is>
      </c>
      <c r="B50" s="20" t="inlineStr">
        <is>
          <t>No era una anomalía: la variable estaba leída al revés. CADASTRALQUALITYID no es una nota, es la categoría catastral, y empeora según crece: el €/m² cae sin excepciones del código 0 al 7, que son el 97,7 % del pool. Sobre el código original, el signo negativo era el correcto. r01 ya invierte la variable para que crezca con la calidad; las valoraciones no se mueven.</t>
        </is>
      </c>
    </row>
    <row r="51" ht="76" customHeight="1">
      <c r="A51" s="4" t="inlineStr">
        <is>
          <t>Jardín</t>
        </is>
      </c>
      <c r="B51" s="20" t="inlineStr">
        <is>
          <t>No era colinealidad con el barrio: el modelo ya centra por barrio y trimestre, y quitar ese centrado deja el jardín en -8,5 % en vez de -1,4 %. O sea que el efecto de la zona empujaba hacia abajo y el centrado ya lo quita; la sospecha iba en la dirección contraria a lo que pasa. Tampoco con la superficie: controlar por ella lo hace aún más positivo, y el VIF es 1,92, muy por debajo de 5. Es un efecto parcial real. Aislado vale +10,1 %; el signo cambia al controlar por piscina, que es la variable con la que más va de la mano de todo el modelo (r = 0,67): el 64,2 % de los anuncios con jardín tienen además piscina. Lo que queda en -1,4 % es el jardín SIN el resto del paquete, que señala promoción periférica, no una casa con jardín en el centro.</t>
        </is>
      </c>
    </row>
    <row r="53">
      <c r="A53" s="9" t="inlineStr">
        <is>
          <t>Lo que estos datos no permiten decir</t>
        </is>
      </c>
    </row>
    <row r="54" ht="30" customHeight="1">
      <c r="A54" s="3" t="inlineStr">
        <is>
          <t>Limitación</t>
        </is>
      </c>
    </row>
    <row r="55">
      <c r="A55" s="20" t="inlineStr">
        <is>
          <t>El objetivo es el precio PEDIDO, no el de cierre.</t>
        </is>
      </c>
    </row>
    <row r="56">
      <c r="A56" s="20" t="inlineStr">
        <is>
          <t>Datos de 2018. No representan el nivel de precios actual.</t>
        </is>
      </c>
    </row>
    <row r="57">
      <c r="A57" s="20" t="inlineStr">
        <is>
          <t>Coordenadas y precios llevan ruido aleatorio añadido por los autores del conjunto de datos por protección de datos.</t>
        </is>
      </c>
    </row>
    <row r="58">
      <c r="A58" s="20" t="inlineStr">
        <is>
          <t>El identificador de anuncio no enlaza entre trimestres en la versión publicada, así que no se puede seguir un mismo inmueble en el tiempo.</t>
        </is>
      </c>
    </row>
    <row r="60" ht="30" customHeight="1">
      <c r="A60" s="16" t="inlineStr">
        <is>
          <t>Fuente: idealista18 (Rey-Blanco, Arbues, Lopez y Paez, 2024), doi:10.1177/23998083241242844, licencia ODbL-1.0. Anuncios de venta en Madrid, cuatro trimestres de 2018.</t>
        </is>
      </c>
    </row>
  </sheetData>
  <mergeCells count="7">
    <mergeCell ref="A24:E24"/>
    <mergeCell ref="A2:E2"/>
    <mergeCell ref="A60:E60"/>
    <mergeCell ref="A1:E1"/>
    <mergeCell ref="A46:E46"/>
    <mergeCell ref="A17:E17"/>
    <mergeCell ref="A3:E3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5" customWidth="1" min="9" max="9"/>
    <col width="11" customWidth="1" min="10" max="10"/>
    <col width="9" customWidth="1" min="11" max="11"/>
    <col width="12" customWidth="1" min="12" max="12"/>
    <col width="11" customWidth="1" min="13" max="13"/>
    <col width="24" customWidth="1" min="14" max="14"/>
    <col width="30" customWidth="1" min="15" max="15"/>
  </cols>
  <sheetData>
    <row r="1" ht="30" customHeight="1">
      <c r="A1" s="3" t="inlineStr">
        <is>
          <t>Referencia</t>
        </is>
      </c>
      <c r="B1" s="3" t="inlineStr">
        <is>
          <t>Fecha</t>
        </is>
      </c>
      <c r="C1" s="3" t="inlineStr">
        <is>
          <t>Distrito</t>
        </is>
      </c>
      <c r="D1" s="3" t="inlineStr">
        <is>
          <t>Superficie (m²)</t>
        </is>
      </c>
      <c r="E1" s="3" t="inlineStr">
        <is>
          <t>Estado</t>
        </is>
      </c>
      <c r="F1" s="3" t="inlineStr">
        <is>
          <t>Precio pedido</t>
        </is>
      </c>
      <c r="G1" s="3" t="inlineStr">
        <is>
          <t>€/m² pedido</t>
        </is>
      </c>
      <c r="H1" s="3" t="inlineStr">
        <is>
          <t>Valor estimado</t>
        </is>
      </c>
      <c r="I1" s="3" t="inlineStr">
        <is>
          <t>€/m² comparables</t>
        </is>
      </c>
      <c r="J1" s="3" t="inlineStr">
        <is>
          <t>Desviación</t>
        </is>
      </c>
      <c r="K1" s="3" t="inlineStr">
        <is>
          <t>Score</t>
        </is>
      </c>
      <c r="L1" s="3" t="inlineStr">
        <is>
          <t>Nº comparables</t>
        </is>
      </c>
      <c r="M1" s="3" t="inlineStr">
        <is>
          <t>Fiabilidad</t>
        </is>
      </c>
      <c r="N1" s="3" t="inlineStr">
        <is>
          <t>Clasificación</t>
        </is>
      </c>
      <c r="O1" s="3" t="inlineStr">
        <is>
          <t>Motivo si no valorable</t>
        </is>
      </c>
    </row>
    <row r="2">
      <c r="A2" s="4" t="inlineStr">
        <is>
          <t>MD-1030</t>
        </is>
      </c>
      <c r="B2" s="21" t="n">
        <v>45901</v>
      </c>
      <c r="C2" s="4" t="inlineStr">
        <is>
          <t>Puente de Vallecas</t>
        </is>
      </c>
      <c r="D2" s="4" t="n">
        <v>62</v>
      </c>
      <c r="E2" s="4" t="inlineStr">
        <is>
          <t>reformado</t>
        </is>
      </c>
      <c r="F2" s="22" t="n">
        <v>208000</v>
      </c>
      <c r="G2" s="23" t="n">
        <v>3354.84</v>
      </c>
      <c r="H2" s="22" t="n"/>
      <c r="I2" s="23" t="n"/>
      <c r="J2" s="18" t="n"/>
      <c r="K2" s="24" t="n"/>
      <c r="L2" s="4" t="n">
        <v>0</v>
      </c>
      <c r="M2" s="4" t="inlineStr">
        <is>
          <t>sin muestra</t>
        </is>
      </c>
      <c r="N2" s="4" t="inlineStr">
        <is>
          <t>no valorable</t>
        </is>
      </c>
      <c r="O2" s="4" t="inlineStr">
        <is>
          <t>ventana inicial sin histórico</t>
        </is>
      </c>
    </row>
    <row r="3">
      <c r="A3" s="4" t="inlineStr">
        <is>
          <t>MD-1679</t>
        </is>
      </c>
      <c r="B3" s="21" t="n">
        <v>45901</v>
      </c>
      <c r="C3" s="4" t="inlineStr">
        <is>
          <t>Vicalvaro</t>
        </is>
      </c>
      <c r="D3" s="4" t="n">
        <v>50</v>
      </c>
      <c r="E3" s="4" t="inlineStr">
        <is>
          <t>reformado</t>
        </is>
      </c>
      <c r="F3" s="22" t="n">
        <v>187000</v>
      </c>
      <c r="G3" s="23" t="n">
        <v>3740</v>
      </c>
      <c r="H3" s="22" t="n"/>
      <c r="I3" s="23" t="n"/>
      <c r="J3" s="18" t="n"/>
      <c r="K3" s="24" t="n"/>
      <c r="L3" s="4" t="n">
        <v>0</v>
      </c>
      <c r="M3" s="4" t="inlineStr">
        <is>
          <t>sin muestra</t>
        </is>
      </c>
      <c r="N3" s="4" t="inlineStr">
        <is>
          <t>no valorable</t>
        </is>
      </c>
      <c r="O3" s="4" t="inlineStr">
        <is>
          <t>ventana inicial sin histórico</t>
        </is>
      </c>
    </row>
    <row r="4">
      <c r="A4" s="4" t="inlineStr">
        <is>
          <t>MD-0603</t>
        </is>
      </c>
      <c r="B4" s="21" t="n">
        <v>45901</v>
      </c>
      <c r="C4" s="4" t="inlineStr">
        <is>
          <t>Retiro</t>
        </is>
      </c>
      <c r="D4" s="4" t="n">
        <v>141</v>
      </c>
      <c r="E4" s="4" t="inlineStr">
        <is>
          <t>buen estado</t>
        </is>
      </c>
      <c r="F4" s="22" t="n">
        <v>1448000</v>
      </c>
      <c r="G4" s="23" t="n">
        <v>10269.5</v>
      </c>
      <c r="H4" s="22" t="n"/>
      <c r="I4" s="23" t="n"/>
      <c r="J4" s="18" t="n"/>
      <c r="K4" s="24" t="n"/>
      <c r="L4" s="4" t="n">
        <v>0</v>
      </c>
      <c r="M4" s="4" t="inlineStr">
        <is>
          <t>sin muestra</t>
        </is>
      </c>
      <c r="N4" s="4" t="inlineStr">
        <is>
          <t>no valorable</t>
        </is>
      </c>
      <c r="O4" s="4" t="inlineStr">
        <is>
          <t>ventana inicial sin histórico</t>
        </is>
      </c>
    </row>
    <row r="5">
      <c r="A5" s="4" t="inlineStr">
        <is>
          <t>MD-1885</t>
        </is>
      </c>
      <c r="B5" s="21" t="n">
        <v>45901</v>
      </c>
      <c r="C5" s="4" t="inlineStr">
        <is>
          <t>Ciudad Lineal</t>
        </is>
      </c>
      <c r="D5" s="4" t="n">
        <v>58</v>
      </c>
      <c r="E5" s="4" t="inlineStr">
        <is>
          <t>buen estado</t>
        </is>
      </c>
      <c r="F5" s="22" t="n">
        <v>269000</v>
      </c>
      <c r="G5" s="23" t="n">
        <v>4637.93</v>
      </c>
      <c r="H5" s="22" t="n"/>
      <c r="I5" s="23" t="n"/>
      <c r="J5" s="18" t="n"/>
      <c r="K5" s="24" t="n"/>
      <c r="L5" s="4" t="n">
        <v>0</v>
      </c>
      <c r="M5" s="4" t="inlineStr">
        <is>
          <t>sin muestra</t>
        </is>
      </c>
      <c r="N5" s="4" t="inlineStr">
        <is>
          <t>no valorable</t>
        </is>
      </c>
      <c r="O5" s="4" t="inlineStr">
        <is>
          <t>ventana inicial sin histórico</t>
        </is>
      </c>
    </row>
    <row r="6">
      <c r="A6" s="4" t="inlineStr">
        <is>
          <t>MD-1247</t>
        </is>
      </c>
      <c r="B6" s="21" t="n">
        <v>45901</v>
      </c>
      <c r="C6" s="4" t="inlineStr">
        <is>
          <t>Chamartin</t>
        </is>
      </c>
      <c r="D6" s="4" t="n">
        <v>186</v>
      </c>
      <c r="E6" s="4" t="inlineStr">
        <is>
          <t>buen estado</t>
        </is>
      </c>
      <c r="F6" s="22" t="n">
        <v>1315000</v>
      </c>
      <c r="G6" s="23" t="n">
        <v>7069.89</v>
      </c>
      <c r="H6" s="22" t="n"/>
      <c r="I6" s="23" t="n"/>
      <c r="J6" s="18" t="n"/>
      <c r="K6" s="24" t="n"/>
      <c r="L6" s="4" t="n">
        <v>0</v>
      </c>
      <c r="M6" s="4" t="inlineStr">
        <is>
          <t>sin muestra</t>
        </is>
      </c>
      <c r="N6" s="4" t="inlineStr">
        <is>
          <t>no valorable</t>
        </is>
      </c>
      <c r="O6" s="4" t="inlineStr">
        <is>
          <t>ventana inicial sin histórico</t>
        </is>
      </c>
    </row>
    <row r="7">
      <c r="A7" s="4" t="inlineStr">
        <is>
          <t>MD-0204</t>
        </is>
      </c>
      <c r="B7" s="21" t="n">
        <v>45901</v>
      </c>
      <c r="C7" s="4" t="inlineStr">
        <is>
          <t>Moncloa-Aravaca</t>
        </is>
      </c>
      <c r="D7" s="4" t="n">
        <v>39</v>
      </c>
      <c r="E7" s="4" t="inlineStr">
        <is>
          <t>buen estado</t>
        </is>
      </c>
      <c r="F7" s="22" t="n">
        <v>193000</v>
      </c>
      <c r="G7" s="23" t="n">
        <v>4948.72</v>
      </c>
      <c r="H7" s="22" t="n"/>
      <c r="I7" s="23" t="n"/>
      <c r="J7" s="18" t="n"/>
      <c r="K7" s="24" t="n"/>
      <c r="L7" s="4" t="n">
        <v>0</v>
      </c>
      <c r="M7" s="4" t="inlineStr">
        <is>
          <t>sin muestra</t>
        </is>
      </c>
      <c r="N7" s="4" t="inlineStr">
        <is>
          <t>no valorable</t>
        </is>
      </c>
      <c r="O7" s="4" t="inlineStr">
        <is>
          <t>ventana inicial sin histórico</t>
        </is>
      </c>
    </row>
    <row r="8">
      <c r="A8" s="4" t="inlineStr">
        <is>
          <t>MD-0029</t>
        </is>
      </c>
      <c r="B8" s="21" t="n">
        <v>45902</v>
      </c>
      <c r="C8" s="4" t="inlineStr">
        <is>
          <t>Vicalvaro</t>
        </is>
      </c>
      <c r="D8" s="4" t="n">
        <v>66</v>
      </c>
      <c r="E8" s="4" t="inlineStr">
        <is>
          <t>buen estado</t>
        </is>
      </c>
      <c r="F8" s="22" t="n">
        <v>248000</v>
      </c>
      <c r="G8" s="23" t="n">
        <v>3757.58</v>
      </c>
      <c r="H8" s="22" t="n"/>
      <c r="I8" s="23" t="n"/>
      <c r="J8" s="18" t="n"/>
      <c r="K8" s="24" t="n"/>
      <c r="L8" s="4" t="n">
        <v>0</v>
      </c>
      <c r="M8" s="4" t="inlineStr">
        <is>
          <t>sin muestra</t>
        </is>
      </c>
      <c r="N8" s="4" t="inlineStr">
        <is>
          <t>no valorable</t>
        </is>
      </c>
      <c r="O8" s="4" t="inlineStr">
        <is>
          <t>ventana inicial sin histórico</t>
        </is>
      </c>
    </row>
    <row r="9">
      <c r="A9" s="4" t="inlineStr">
        <is>
          <t>MD-1824</t>
        </is>
      </c>
      <c r="B9" s="21" t="n">
        <v>45902</v>
      </c>
      <c r="C9" s="4" t="inlineStr">
        <is>
          <t>Latina</t>
        </is>
      </c>
      <c r="D9" s="4" t="n">
        <v>49</v>
      </c>
      <c r="E9" s="4" t="inlineStr">
        <is>
          <t>obra nueva</t>
        </is>
      </c>
      <c r="F9" s="22" t="n">
        <v>232000</v>
      </c>
      <c r="G9" s="23" t="n">
        <v>4734.69</v>
      </c>
      <c r="H9" s="22" t="n"/>
      <c r="I9" s="23" t="n"/>
      <c r="J9" s="18" t="n"/>
      <c r="K9" s="24" t="n"/>
      <c r="L9" s="4" t="n">
        <v>0</v>
      </c>
      <c r="M9" s="4" t="inlineStr">
        <is>
          <t>sin muestra</t>
        </is>
      </c>
      <c r="N9" s="4" t="inlineStr">
        <is>
          <t>no valorable</t>
        </is>
      </c>
      <c r="O9" s="4" t="inlineStr">
        <is>
          <t>ventana inicial sin histórico</t>
        </is>
      </c>
    </row>
    <row r="10">
      <c r="A10" s="4" t="inlineStr">
        <is>
          <t>MD-1371</t>
        </is>
      </c>
      <c r="B10" s="21" t="n">
        <v>45902</v>
      </c>
      <c r="C10" s="4" t="inlineStr">
        <is>
          <t>Chamberi</t>
        </is>
      </c>
      <c r="D10" s="4" t="n">
        <v>66</v>
      </c>
      <c r="E10" s="4" t="inlineStr">
        <is>
          <t>obra nueva</t>
        </is>
      </c>
      <c r="F10" s="22" t="n">
        <v>763000</v>
      </c>
      <c r="G10" s="23" t="n">
        <v>11560.61</v>
      </c>
      <c r="H10" s="22" t="n"/>
      <c r="I10" s="23" t="n"/>
      <c r="J10" s="18" t="n"/>
      <c r="K10" s="24" t="n"/>
      <c r="L10" s="4" t="n">
        <v>0</v>
      </c>
      <c r="M10" s="4" t="inlineStr">
        <is>
          <t>sin muestra</t>
        </is>
      </c>
      <c r="N10" s="4" t="inlineStr">
        <is>
          <t>no valorable</t>
        </is>
      </c>
      <c r="O10" s="4" t="inlineStr">
        <is>
          <t>ventana inicial sin histórico</t>
        </is>
      </c>
    </row>
    <row r="11">
      <c r="A11" s="4" t="inlineStr">
        <is>
          <t>MD-0677</t>
        </is>
      </c>
      <c r="B11" s="21" t="n">
        <v>45902</v>
      </c>
      <c r="C11" s="4" t="inlineStr">
        <is>
          <t>Tetuan</t>
        </is>
      </c>
      <c r="D11" s="4" t="n">
        <v>95</v>
      </c>
      <c r="E11" s="4" t="inlineStr">
        <is>
          <t>a reformar</t>
        </is>
      </c>
      <c r="F11" s="22" t="n">
        <v>325000</v>
      </c>
      <c r="G11" s="23" t="n">
        <v>3421.05</v>
      </c>
      <c r="H11" s="22" t="n"/>
      <c r="I11" s="23" t="n"/>
      <c r="J11" s="18" t="n"/>
      <c r="K11" s="24" t="n"/>
      <c r="L11" s="4" t="n">
        <v>0</v>
      </c>
      <c r="M11" s="4" t="inlineStr">
        <is>
          <t>sin muestra</t>
        </is>
      </c>
      <c r="N11" s="4" t="inlineStr">
        <is>
          <t>no valorable</t>
        </is>
      </c>
      <c r="O11" s="4" t="inlineStr">
        <is>
          <t>ventana inicial sin histórico</t>
        </is>
      </c>
    </row>
    <row r="12">
      <c r="A12" s="4" t="inlineStr">
        <is>
          <t>MD-1857</t>
        </is>
      </c>
      <c r="B12" s="21" t="n">
        <v>45902</v>
      </c>
      <c r="C12" s="4" t="inlineStr">
        <is>
          <t>Usera</t>
        </is>
      </c>
      <c r="D12" s="4" t="n">
        <v>66</v>
      </c>
      <c r="E12" s="4" t="inlineStr">
        <is>
          <t>a reformar</t>
        </is>
      </c>
      <c r="F12" s="22" t="n">
        <v>143000</v>
      </c>
      <c r="G12" s="23" t="n">
        <v>2166.67</v>
      </c>
      <c r="H12" s="22" t="n"/>
      <c r="I12" s="23" t="n"/>
      <c r="J12" s="18" t="n"/>
      <c r="K12" s="24" t="n"/>
      <c r="L12" s="4" t="n">
        <v>0</v>
      </c>
      <c r="M12" s="4" t="inlineStr">
        <is>
          <t>sin muestra</t>
        </is>
      </c>
      <c r="N12" s="4" t="inlineStr">
        <is>
          <t>no valorable</t>
        </is>
      </c>
      <c r="O12" s="4" t="inlineStr">
        <is>
          <t>ventana inicial sin histórico</t>
        </is>
      </c>
    </row>
    <row r="13">
      <c r="A13" s="4" t="inlineStr">
        <is>
          <t>MD-1170</t>
        </is>
      </c>
      <c r="B13" s="21" t="n">
        <v>45902</v>
      </c>
      <c r="C13" s="4" t="inlineStr">
        <is>
          <t>Moncloa-Aravaca</t>
        </is>
      </c>
      <c r="D13" s="4" t="n">
        <v>31</v>
      </c>
      <c r="E13" s="4" t="inlineStr">
        <is>
          <t>buen estado</t>
        </is>
      </c>
      <c r="F13" s="22" t="n">
        <v>148000</v>
      </c>
      <c r="G13" s="23" t="n">
        <v>4774.19</v>
      </c>
      <c r="H13" s="22" t="n"/>
      <c r="I13" s="23" t="n"/>
      <c r="J13" s="18" t="n"/>
      <c r="K13" s="24" t="n"/>
      <c r="L13" s="4" t="n">
        <v>0</v>
      </c>
      <c r="M13" s="4" t="inlineStr">
        <is>
          <t>sin muestra</t>
        </is>
      </c>
      <c r="N13" s="4" t="inlineStr">
        <is>
          <t>no valorable</t>
        </is>
      </c>
      <c r="O13" s="4" t="inlineStr">
        <is>
          <t>ventana inicial sin histórico</t>
        </is>
      </c>
    </row>
    <row r="14">
      <c r="A14" s="4" t="inlineStr">
        <is>
          <t>MD-0534</t>
        </is>
      </c>
      <c r="B14" s="21" t="n">
        <v>45902</v>
      </c>
      <c r="C14" s="4" t="inlineStr">
        <is>
          <t>Retiro</t>
        </is>
      </c>
      <c r="D14" s="4" t="n">
        <v>79</v>
      </c>
      <c r="E14" s="4" t="inlineStr">
        <is>
          <t>buen estado</t>
        </is>
      </c>
      <c r="F14" s="22" t="n">
        <v>556000</v>
      </c>
      <c r="G14" s="23" t="n">
        <v>7037.97</v>
      </c>
      <c r="H14" s="22" t="n"/>
      <c r="I14" s="23" t="n"/>
      <c r="J14" s="18" t="n"/>
      <c r="K14" s="24" t="n"/>
      <c r="L14" s="4" t="n">
        <v>0</v>
      </c>
      <c r="M14" s="4" t="inlineStr">
        <is>
          <t>sin muestra</t>
        </is>
      </c>
      <c r="N14" s="4" t="inlineStr">
        <is>
          <t>no valorable</t>
        </is>
      </c>
      <c r="O14" s="4" t="inlineStr">
        <is>
          <t>ventana inicial sin histórico</t>
        </is>
      </c>
    </row>
    <row r="15">
      <c r="A15" s="4" t="inlineStr">
        <is>
          <t>MD-0382</t>
        </is>
      </c>
      <c r="B15" s="21" t="n">
        <v>45903</v>
      </c>
      <c r="C15" s="4" t="inlineStr">
        <is>
          <t>Latina</t>
        </is>
      </c>
      <c r="D15" s="4" t="n">
        <v>46</v>
      </c>
      <c r="E15" s="4" t="inlineStr">
        <is>
          <t>a reformar</t>
        </is>
      </c>
      <c r="F15" s="22" t="n">
        <v>128000</v>
      </c>
      <c r="G15" s="23" t="n">
        <v>2782.61</v>
      </c>
      <c r="H15" s="22" t="n"/>
      <c r="I15" s="23" t="n"/>
      <c r="J15" s="18" t="n"/>
      <c r="K15" s="24" t="n"/>
      <c r="L15" s="4" t="n">
        <v>1</v>
      </c>
      <c r="M15" s="4" t="inlineStr">
        <is>
          <t>sin muestra</t>
        </is>
      </c>
      <c r="N15" s="4" t="inlineStr">
        <is>
          <t>no valorable</t>
        </is>
      </c>
      <c r="O15" s="4" t="inlineStr">
        <is>
          <t>ventana inicial sin histórico</t>
        </is>
      </c>
    </row>
    <row r="16">
      <c r="A16" s="4" t="inlineStr">
        <is>
          <t>MD-0395</t>
        </is>
      </c>
      <c r="B16" s="21" t="n">
        <v>45903</v>
      </c>
      <c r="C16" s="4" t="inlineStr">
        <is>
          <t>Hortaleza</t>
        </is>
      </c>
      <c r="D16" s="4" t="n">
        <v>42</v>
      </c>
      <c r="E16" s="4" t="inlineStr">
        <is>
          <t>buen estado</t>
        </is>
      </c>
      <c r="F16" s="22" t="n">
        <v>209000</v>
      </c>
      <c r="G16" s="23" t="n">
        <v>4976.19</v>
      </c>
      <c r="H16" s="22" t="n"/>
      <c r="I16" s="23" t="n"/>
      <c r="J16" s="18" t="n"/>
      <c r="K16" s="24" t="n"/>
      <c r="L16" s="4" t="n">
        <v>0</v>
      </c>
      <c r="M16" s="4" t="inlineStr">
        <is>
          <t>sin muestra</t>
        </is>
      </c>
      <c r="N16" s="4" t="inlineStr">
        <is>
          <t>no valorable</t>
        </is>
      </c>
      <c r="O16" s="4" t="inlineStr">
        <is>
          <t>ventana inicial sin histórico</t>
        </is>
      </c>
    </row>
    <row r="17">
      <c r="A17" s="4" t="inlineStr">
        <is>
          <t>MD-1759</t>
        </is>
      </c>
      <c r="B17" s="21" t="n">
        <v>45903</v>
      </c>
      <c r="C17" s="4" t="inlineStr">
        <is>
          <t>Salamanca</t>
        </is>
      </c>
      <c r="D17" s="4" t="n">
        <v>56</v>
      </c>
      <c r="E17" s="4" t="inlineStr">
        <is>
          <t>reformado</t>
        </is>
      </c>
      <c r="F17" s="22" t="n">
        <v>516000</v>
      </c>
      <c r="G17" s="23" t="n">
        <v>9214.290000000001</v>
      </c>
      <c r="H17" s="22" t="n"/>
      <c r="I17" s="23" t="n"/>
      <c r="J17" s="18" t="n"/>
      <c r="K17" s="24" t="n"/>
      <c r="L17" s="4" t="n">
        <v>0</v>
      </c>
      <c r="M17" s="4" t="inlineStr">
        <is>
          <t>sin muestra</t>
        </is>
      </c>
      <c r="N17" s="4" t="inlineStr">
        <is>
          <t>no valorable</t>
        </is>
      </c>
      <c r="O17" s="4" t="inlineStr">
        <is>
          <t>ventana inicial sin histórico</t>
        </is>
      </c>
    </row>
    <row r="18">
      <c r="A18" s="4" t="inlineStr">
        <is>
          <t>MD-1240</t>
        </is>
      </c>
      <c r="B18" s="21" t="n">
        <v>45903</v>
      </c>
      <c r="C18" s="4" t="inlineStr">
        <is>
          <t>San Blas-Canillejas</t>
        </is>
      </c>
      <c r="D18" s="4" t="n">
        <v>60</v>
      </c>
      <c r="E18" s="4" t="inlineStr">
        <is>
          <t>buen estado</t>
        </is>
      </c>
      <c r="F18" s="22" t="n">
        <v>196000</v>
      </c>
      <c r="G18" s="23" t="n">
        <v>3266.67</v>
      </c>
      <c r="H18" s="22" t="n"/>
      <c r="I18" s="23" t="n"/>
      <c r="J18" s="18" t="n"/>
      <c r="K18" s="24" t="n"/>
      <c r="L18" s="4" t="n">
        <v>0</v>
      </c>
      <c r="M18" s="4" t="inlineStr">
        <is>
          <t>sin muestra</t>
        </is>
      </c>
      <c r="N18" s="4" t="inlineStr">
        <is>
          <t>no valorable</t>
        </is>
      </c>
      <c r="O18" s="4" t="inlineStr">
        <is>
          <t>ventana inicial sin histórico</t>
        </is>
      </c>
    </row>
    <row r="19">
      <c r="A19" s="4" t="inlineStr">
        <is>
          <t>MD-0920</t>
        </is>
      </c>
      <c r="B19" s="21" t="n">
        <v>45903</v>
      </c>
      <c r="C19" s="4" t="inlineStr">
        <is>
          <t>Hortaleza</t>
        </is>
      </c>
      <c r="D19" s="4" t="n">
        <v>167</v>
      </c>
      <c r="E19" s="4" t="inlineStr">
        <is>
          <t>buen estado</t>
        </is>
      </c>
      <c r="F19" s="22" t="n">
        <v>975000</v>
      </c>
      <c r="G19" s="23" t="n">
        <v>5838.32</v>
      </c>
      <c r="H19" s="22" t="n"/>
      <c r="I19" s="23" t="n"/>
      <c r="J19" s="18" t="n"/>
      <c r="K19" s="24" t="n"/>
      <c r="L19" s="4" t="n">
        <v>0</v>
      </c>
      <c r="M19" s="4" t="inlineStr">
        <is>
          <t>sin muestra</t>
        </is>
      </c>
      <c r="N19" s="4" t="inlineStr">
        <is>
          <t>no valorable</t>
        </is>
      </c>
      <c r="O19" s="4" t="inlineStr">
        <is>
          <t>ventana inicial sin histórico</t>
        </is>
      </c>
    </row>
    <row r="20">
      <c r="A20" s="4" t="inlineStr">
        <is>
          <t>MD-1071</t>
        </is>
      </c>
      <c r="B20" s="21" t="n">
        <v>45904</v>
      </c>
      <c r="C20" s="4" t="inlineStr">
        <is>
          <t>Vicalvaro</t>
        </is>
      </c>
      <c r="D20" s="4" t="n">
        <v>95</v>
      </c>
      <c r="E20" s="4" t="inlineStr">
        <is>
          <t>buen estado</t>
        </is>
      </c>
      <c r="F20" s="22" t="n">
        <v>323000</v>
      </c>
      <c r="G20" s="23" t="n">
        <v>3400</v>
      </c>
      <c r="H20" s="22" t="n"/>
      <c r="I20" s="23" t="n"/>
      <c r="J20" s="18" t="n"/>
      <c r="K20" s="24" t="n"/>
      <c r="L20" s="4" t="n">
        <v>0</v>
      </c>
      <c r="M20" s="4" t="inlineStr">
        <is>
          <t>sin muestra</t>
        </is>
      </c>
      <c r="N20" s="4" t="inlineStr">
        <is>
          <t>no valorable</t>
        </is>
      </c>
      <c r="O20" s="4" t="inlineStr">
        <is>
          <t>ventana inicial sin histórico</t>
        </is>
      </c>
    </row>
    <row r="21">
      <c r="A21" s="4" t="inlineStr">
        <is>
          <t>MD-1855</t>
        </is>
      </c>
      <c r="B21" s="21" t="n">
        <v>45904</v>
      </c>
      <c r="C21" s="4" t="inlineStr">
        <is>
          <t>Puente de Vallecas</t>
        </is>
      </c>
      <c r="D21" s="4" t="n">
        <v>59</v>
      </c>
      <c r="E21" s="4" t="inlineStr">
        <is>
          <t>buen estado</t>
        </is>
      </c>
      <c r="F21" s="22" t="n">
        <v>146000</v>
      </c>
      <c r="G21" s="23" t="n">
        <v>2474.58</v>
      </c>
      <c r="H21" s="22" t="n"/>
      <c r="I21" s="23" t="n"/>
      <c r="J21" s="18" t="n"/>
      <c r="K21" s="24" t="n"/>
      <c r="L21" s="4" t="n">
        <v>1</v>
      </c>
      <c r="M21" s="4" t="inlineStr">
        <is>
          <t>sin muestra</t>
        </is>
      </c>
      <c r="N21" s="4" t="inlineStr">
        <is>
          <t>no valorable</t>
        </is>
      </c>
      <c r="O21" s="4" t="inlineStr">
        <is>
          <t>ventana inicial sin histórico</t>
        </is>
      </c>
    </row>
    <row r="22">
      <c r="A22" s="4" t="inlineStr">
        <is>
          <t>MD-0727</t>
        </is>
      </c>
      <c r="B22" s="21" t="n">
        <v>45904</v>
      </c>
      <c r="C22" s="4" t="inlineStr">
        <is>
          <t>Fuencarral-El Pardo</t>
        </is>
      </c>
      <c r="D22" s="4" t="n">
        <v>72</v>
      </c>
      <c r="E22" s="4" t="inlineStr">
        <is>
          <t>reformado</t>
        </is>
      </c>
      <c r="F22" s="22" t="n">
        <v>360000</v>
      </c>
      <c r="G22" s="23" t="n">
        <v>5000</v>
      </c>
      <c r="H22" s="22" t="n"/>
      <c r="I22" s="23" t="n"/>
      <c r="J22" s="18" t="n"/>
      <c r="K22" s="24" t="n"/>
      <c r="L22" s="4" t="n">
        <v>0</v>
      </c>
      <c r="M22" s="4" t="inlineStr">
        <is>
          <t>sin muestra</t>
        </is>
      </c>
      <c r="N22" s="4" t="inlineStr">
        <is>
          <t>no valorable</t>
        </is>
      </c>
      <c r="O22" s="4" t="inlineStr">
        <is>
          <t>ventana inicial sin histórico</t>
        </is>
      </c>
    </row>
    <row r="23">
      <c r="A23" s="4" t="inlineStr">
        <is>
          <t>MD-1482</t>
        </is>
      </c>
      <c r="B23" s="21" t="n">
        <v>45904</v>
      </c>
      <c r="C23" s="4" t="inlineStr">
        <is>
          <t>Latina</t>
        </is>
      </c>
      <c r="D23" s="4" t="n">
        <v>67</v>
      </c>
      <c r="E23" s="4" t="inlineStr">
        <is>
          <t>obra nueva</t>
        </is>
      </c>
      <c r="F23" s="22" t="n">
        <v>243000</v>
      </c>
      <c r="G23" s="23" t="n">
        <v>3626.87</v>
      </c>
      <c r="H23" s="22" t="n"/>
      <c r="I23" s="23" t="n"/>
      <c r="J23" s="18" t="n"/>
      <c r="K23" s="24" t="n"/>
      <c r="L23" s="4" t="n">
        <v>0</v>
      </c>
      <c r="M23" s="4" t="inlineStr">
        <is>
          <t>sin muestra</t>
        </is>
      </c>
      <c r="N23" s="4" t="inlineStr">
        <is>
          <t>no valorable</t>
        </is>
      </c>
      <c r="O23" s="4" t="inlineStr">
        <is>
          <t>ventana inicial sin histórico</t>
        </is>
      </c>
    </row>
    <row r="24">
      <c r="A24" s="4" t="inlineStr">
        <is>
          <t>MD-1548</t>
        </is>
      </c>
      <c r="B24" s="21" t="n">
        <v>45904</v>
      </c>
      <c r="C24" s="4" t="inlineStr">
        <is>
          <t>Puente de Vallecas</t>
        </is>
      </c>
      <c r="D24" s="4" t="n">
        <v>84</v>
      </c>
      <c r="E24" s="4" t="inlineStr">
        <is>
          <t>buen estado</t>
        </is>
      </c>
      <c r="F24" s="22" t="n">
        <v>265000</v>
      </c>
      <c r="G24" s="23" t="n">
        <v>3154.76</v>
      </c>
      <c r="H24" s="22" t="n"/>
      <c r="I24" s="23" t="n"/>
      <c r="J24" s="18" t="n"/>
      <c r="K24" s="24" t="n"/>
      <c r="L24" s="4" t="n">
        <v>0</v>
      </c>
      <c r="M24" s="4" t="inlineStr">
        <is>
          <t>sin muestra</t>
        </is>
      </c>
      <c r="N24" s="4" t="inlineStr">
        <is>
          <t>no valorable</t>
        </is>
      </c>
      <c r="O24" s="4" t="inlineStr">
        <is>
          <t>ventana inicial sin histórico</t>
        </is>
      </c>
    </row>
    <row r="25">
      <c r="A25" s="4" t="inlineStr">
        <is>
          <t>MD-0042</t>
        </is>
      </c>
      <c r="B25" s="21" t="n">
        <v>45904</v>
      </c>
      <c r="C25" s="4" t="inlineStr">
        <is>
          <t>Usera</t>
        </is>
      </c>
      <c r="D25" s="4" t="n">
        <v>63</v>
      </c>
      <c r="E25" s="4" t="inlineStr">
        <is>
          <t>buen estado</t>
        </is>
      </c>
      <c r="F25" s="22" t="n">
        <v>260000</v>
      </c>
      <c r="G25" s="23" t="n">
        <v>4126.98</v>
      </c>
      <c r="H25" s="22" t="n"/>
      <c r="I25" s="23" t="n"/>
      <c r="J25" s="18" t="n"/>
      <c r="K25" s="24" t="n"/>
      <c r="L25" s="4" t="n">
        <v>1</v>
      </c>
      <c r="M25" s="4" t="inlineStr">
        <is>
          <t>sin muestra</t>
        </is>
      </c>
      <c r="N25" s="4" t="inlineStr">
        <is>
          <t>no valorable</t>
        </is>
      </c>
      <c r="O25" s="4" t="inlineStr">
        <is>
          <t>ventana inicial sin histórico</t>
        </is>
      </c>
    </row>
    <row r="26">
      <c r="A26" s="4" t="inlineStr">
        <is>
          <t>MD-1509</t>
        </is>
      </c>
      <c r="B26" s="21" t="n">
        <v>45904</v>
      </c>
      <c r="C26" s="4" t="inlineStr">
        <is>
          <t>Vicalvaro</t>
        </is>
      </c>
      <c r="D26" s="4" t="n">
        <v>100</v>
      </c>
      <c r="E26" s="4" t="inlineStr">
        <is>
          <t>buen estado</t>
        </is>
      </c>
      <c r="F26" s="22" t="n">
        <v>300000</v>
      </c>
      <c r="G26" s="23" t="n">
        <v>3000</v>
      </c>
      <c r="H26" s="22" t="n"/>
      <c r="I26" s="23" t="n"/>
      <c r="J26" s="18" t="n"/>
      <c r="K26" s="24" t="n"/>
      <c r="L26" s="4" t="n">
        <v>0</v>
      </c>
      <c r="M26" s="4" t="inlineStr">
        <is>
          <t>sin muestra</t>
        </is>
      </c>
      <c r="N26" s="4" t="inlineStr">
        <is>
          <t>no valorable</t>
        </is>
      </c>
      <c r="O26" s="4" t="inlineStr">
        <is>
          <t>ventana inicial sin histórico</t>
        </is>
      </c>
    </row>
    <row r="27">
      <c r="A27" s="4" t="inlineStr">
        <is>
          <t>MD-1393</t>
        </is>
      </c>
      <c r="B27" s="21" t="n">
        <v>45904</v>
      </c>
      <c r="C27" s="4" t="inlineStr">
        <is>
          <t>Arganzuela</t>
        </is>
      </c>
      <c r="D27" s="4" t="n">
        <v>178</v>
      </c>
      <c r="E27" s="4" t="inlineStr">
        <is>
          <t>a reformar</t>
        </is>
      </c>
      <c r="F27" s="22" t="n">
        <v>837000</v>
      </c>
      <c r="G27" s="23" t="n">
        <v>4702.25</v>
      </c>
      <c r="H27" s="22" t="n"/>
      <c r="I27" s="23" t="n"/>
      <c r="J27" s="18" t="n"/>
      <c r="K27" s="24" t="n"/>
      <c r="L27" s="4" t="n">
        <v>0</v>
      </c>
      <c r="M27" s="4" t="inlineStr">
        <is>
          <t>sin muestra</t>
        </is>
      </c>
      <c r="N27" s="4" t="inlineStr">
        <is>
          <t>no valorable</t>
        </is>
      </c>
      <c r="O27" s="4" t="inlineStr">
        <is>
          <t>ventana inicial sin histórico</t>
        </is>
      </c>
    </row>
    <row r="28">
      <c r="A28" s="4" t="inlineStr">
        <is>
          <t>MD-1175</t>
        </is>
      </c>
      <c r="B28" s="21" t="n">
        <v>45905</v>
      </c>
      <c r="C28" s="4" t="inlineStr">
        <is>
          <t>Hortaleza</t>
        </is>
      </c>
      <c r="D28" s="4" t="n">
        <v>93</v>
      </c>
      <c r="E28" s="4" t="inlineStr">
        <is>
          <t>a reformar</t>
        </is>
      </c>
      <c r="F28" s="22" t="n">
        <v>425000</v>
      </c>
      <c r="G28" s="23" t="n">
        <v>4569.89</v>
      </c>
      <c r="H28" s="22" t="n"/>
      <c r="I28" s="23" t="n"/>
      <c r="J28" s="18" t="n"/>
      <c r="K28" s="24" t="n"/>
      <c r="L28" s="4" t="n">
        <v>0</v>
      </c>
      <c r="M28" s="4" t="inlineStr">
        <is>
          <t>sin muestra</t>
        </is>
      </c>
      <c r="N28" s="4" t="inlineStr">
        <is>
          <t>no valorable</t>
        </is>
      </c>
      <c r="O28" s="4" t="inlineStr">
        <is>
          <t>ventana inicial sin histórico</t>
        </is>
      </c>
    </row>
    <row r="29">
      <c r="A29" s="4" t="inlineStr">
        <is>
          <t>MD-0597</t>
        </is>
      </c>
      <c r="B29" s="21" t="n">
        <v>45905</v>
      </c>
      <c r="C29" s="4" t="inlineStr">
        <is>
          <t>Latina</t>
        </is>
      </c>
      <c r="D29" s="4" t="n">
        <v>41</v>
      </c>
      <c r="E29" s="4" t="inlineStr">
        <is>
          <t>reformado</t>
        </is>
      </c>
      <c r="F29" s="22" t="n">
        <v>140000</v>
      </c>
      <c r="G29" s="23" t="n">
        <v>3414.63</v>
      </c>
      <c r="H29" s="22" t="n"/>
      <c r="I29" s="23" t="n"/>
      <c r="J29" s="18" t="n"/>
      <c r="K29" s="24" t="n"/>
      <c r="L29" s="4" t="n">
        <v>2</v>
      </c>
      <c r="M29" s="4" t="inlineStr">
        <is>
          <t>sin muestra</t>
        </is>
      </c>
      <c r="N29" s="4" t="inlineStr">
        <is>
          <t>no valorable</t>
        </is>
      </c>
      <c r="O29" s="4" t="inlineStr">
        <is>
          <t>ventana inicial sin histórico</t>
        </is>
      </c>
    </row>
    <row r="30">
      <c r="A30" s="4" t="inlineStr">
        <is>
          <t>MD-1732</t>
        </is>
      </c>
      <c r="B30" s="21" t="n">
        <v>45905</v>
      </c>
      <c r="C30" s="4" t="inlineStr">
        <is>
          <t>Fuencarral-El Pardo</t>
        </is>
      </c>
      <c r="D30" s="4" t="n">
        <v>96</v>
      </c>
      <c r="E30" s="4" t="inlineStr">
        <is>
          <t>a reformar</t>
        </is>
      </c>
      <c r="F30" s="22" t="n">
        <v>335000</v>
      </c>
      <c r="G30" s="23" t="n">
        <v>3489.58</v>
      </c>
      <c r="H30" s="22" t="n"/>
      <c r="I30" s="23" t="n"/>
      <c r="J30" s="18" t="n"/>
      <c r="K30" s="24" t="n"/>
      <c r="L30" s="4" t="n">
        <v>0</v>
      </c>
      <c r="M30" s="4" t="inlineStr">
        <is>
          <t>sin muestra</t>
        </is>
      </c>
      <c r="N30" s="4" t="inlineStr">
        <is>
          <t>no valorable</t>
        </is>
      </c>
      <c r="O30" s="4" t="inlineStr">
        <is>
          <t>ventana inicial sin histórico</t>
        </is>
      </c>
    </row>
    <row r="31">
      <c r="A31" s="4" t="inlineStr">
        <is>
          <t>MD-0526</t>
        </is>
      </c>
      <c r="B31" s="21" t="n">
        <v>45905</v>
      </c>
      <c r="C31" s="4" t="inlineStr">
        <is>
          <t>Usera</t>
        </is>
      </c>
      <c r="D31" s="4" t="n">
        <v>65</v>
      </c>
      <c r="E31" s="4" t="inlineStr">
        <is>
          <t>a reformar</t>
        </is>
      </c>
      <c r="F31" s="22" t="n">
        <v>171000</v>
      </c>
      <c r="G31" s="23" t="n">
        <v>2630.77</v>
      </c>
      <c r="H31" s="22" t="n"/>
      <c r="I31" s="23" t="n"/>
      <c r="J31" s="18" t="n"/>
      <c r="K31" s="24" t="n"/>
      <c r="L31" s="4" t="n">
        <v>2</v>
      </c>
      <c r="M31" s="4" t="inlineStr">
        <is>
          <t>sin muestra</t>
        </is>
      </c>
      <c r="N31" s="4" t="inlineStr">
        <is>
          <t>no valorable</t>
        </is>
      </c>
      <c r="O31" s="4" t="inlineStr">
        <is>
          <t>ventana inicial sin histórico</t>
        </is>
      </c>
    </row>
    <row r="32">
      <c r="A32" s="4" t="inlineStr">
        <is>
          <t>MD-0633</t>
        </is>
      </c>
      <c r="B32" s="21" t="n">
        <v>45905</v>
      </c>
      <c r="C32" s="4" t="inlineStr">
        <is>
          <t>Salamanca</t>
        </is>
      </c>
      <c r="D32" s="4" t="n">
        <v>63</v>
      </c>
      <c r="E32" s="4" t="inlineStr">
        <is>
          <t>buen estado</t>
        </is>
      </c>
      <c r="F32" s="22" t="n">
        <v>385000</v>
      </c>
      <c r="G32" s="23" t="n">
        <v>6111.11</v>
      </c>
      <c r="H32" s="22" t="n"/>
      <c r="I32" s="23" t="n"/>
      <c r="J32" s="18" t="n"/>
      <c r="K32" s="24" t="n"/>
      <c r="L32" s="4" t="n">
        <v>1</v>
      </c>
      <c r="M32" s="4" t="inlineStr">
        <is>
          <t>sin muestra</t>
        </is>
      </c>
      <c r="N32" s="4" t="inlineStr">
        <is>
          <t>no valorable</t>
        </is>
      </c>
      <c r="O32" s="4" t="inlineStr">
        <is>
          <t>ventana inicial sin histórico</t>
        </is>
      </c>
    </row>
    <row r="33">
      <c r="A33" s="4" t="inlineStr">
        <is>
          <t>MD-1336</t>
        </is>
      </c>
      <c r="B33" s="21" t="n">
        <v>45905</v>
      </c>
      <c r="C33" s="4" t="inlineStr">
        <is>
          <t>Arganzuela</t>
        </is>
      </c>
      <c r="D33" s="4" t="n">
        <v>31</v>
      </c>
      <c r="E33" s="4" t="inlineStr">
        <is>
          <t>a reformar</t>
        </is>
      </c>
      <c r="F33" s="22" t="n">
        <v>196000</v>
      </c>
      <c r="G33" s="23" t="n">
        <v>6322.58</v>
      </c>
      <c r="H33" s="22" t="n"/>
      <c r="I33" s="23" t="n"/>
      <c r="J33" s="18" t="n"/>
      <c r="K33" s="24" t="n"/>
      <c r="L33" s="4" t="n">
        <v>0</v>
      </c>
      <c r="M33" s="4" t="inlineStr">
        <is>
          <t>sin muestra</t>
        </is>
      </c>
      <c r="N33" s="4" t="inlineStr">
        <is>
          <t>no valorable</t>
        </is>
      </c>
      <c r="O33" s="4" t="inlineStr">
        <is>
          <t>ventana inicial sin histórico</t>
        </is>
      </c>
    </row>
    <row r="34">
      <c r="A34" s="4" t="inlineStr">
        <is>
          <t>MD-1370</t>
        </is>
      </c>
      <c r="B34" s="21" t="n">
        <v>45906</v>
      </c>
      <c r="C34" s="4" t="inlineStr">
        <is>
          <t>Latina</t>
        </is>
      </c>
      <c r="D34" s="4" t="n">
        <v>76</v>
      </c>
      <c r="E34" s="4" t="inlineStr">
        <is>
          <t>a reformar</t>
        </is>
      </c>
      <c r="F34" s="22" t="n">
        <v>241000</v>
      </c>
      <c r="G34" s="23" t="n">
        <v>3171.05</v>
      </c>
      <c r="H34" s="22" t="n"/>
      <c r="I34" s="23" t="n"/>
      <c r="J34" s="18" t="n"/>
      <c r="K34" s="24" t="n"/>
      <c r="L34" s="4" t="n">
        <v>1</v>
      </c>
      <c r="M34" s="4" t="inlineStr">
        <is>
          <t>sin muestra</t>
        </is>
      </c>
      <c r="N34" s="4" t="inlineStr">
        <is>
          <t>no valorable</t>
        </is>
      </c>
      <c r="O34" s="4" t="inlineStr">
        <is>
          <t>ventana inicial sin histórico</t>
        </is>
      </c>
    </row>
    <row r="35">
      <c r="A35" s="4" t="inlineStr">
        <is>
          <t>MD-0475</t>
        </is>
      </c>
      <c r="B35" s="21" t="n">
        <v>45906</v>
      </c>
      <c r="C35" s="4" t="inlineStr">
        <is>
          <t>Chamartin</t>
        </is>
      </c>
      <c r="D35" s="4" t="n">
        <v>58</v>
      </c>
      <c r="E35" s="4" t="inlineStr">
        <is>
          <t>buen estado</t>
        </is>
      </c>
      <c r="F35" s="22" t="n">
        <v>424000</v>
      </c>
      <c r="G35" s="23" t="n">
        <v>7310.34</v>
      </c>
      <c r="H35" s="22" t="n"/>
      <c r="I35" s="23" t="n"/>
      <c r="J35" s="18" t="n"/>
      <c r="K35" s="24" t="n"/>
      <c r="L35" s="4" t="n">
        <v>0</v>
      </c>
      <c r="M35" s="4" t="inlineStr">
        <is>
          <t>sin muestra</t>
        </is>
      </c>
      <c r="N35" s="4" t="inlineStr">
        <is>
          <t>no valorable</t>
        </is>
      </c>
      <c r="O35" s="4" t="inlineStr">
        <is>
          <t>ventana inicial sin histórico</t>
        </is>
      </c>
    </row>
    <row r="36">
      <c r="A36" s="4" t="inlineStr">
        <is>
          <t>MD-0686</t>
        </is>
      </c>
      <c r="B36" s="21" t="n">
        <v>45907</v>
      </c>
      <c r="C36" s="4" t="inlineStr">
        <is>
          <t>Chamartin</t>
        </is>
      </c>
      <c r="D36" s="4" t="n">
        <v>68</v>
      </c>
      <c r="E36" s="4" t="inlineStr">
        <is>
          <t>buen estado</t>
        </is>
      </c>
      <c r="F36" s="22" t="n">
        <v>516000</v>
      </c>
      <c r="G36" s="23" t="n">
        <v>7588.24</v>
      </c>
      <c r="H36" s="22" t="n"/>
      <c r="I36" s="23" t="n"/>
      <c r="J36" s="18" t="n"/>
      <c r="K36" s="24" t="n"/>
      <c r="L36" s="4" t="n">
        <v>1</v>
      </c>
      <c r="M36" s="4" t="inlineStr">
        <is>
          <t>sin muestra</t>
        </is>
      </c>
      <c r="N36" s="4" t="inlineStr">
        <is>
          <t>no valorable</t>
        </is>
      </c>
      <c r="O36" s="4" t="inlineStr">
        <is>
          <t>ventana inicial sin histórico</t>
        </is>
      </c>
    </row>
    <row r="37">
      <c r="A37" s="4" t="inlineStr">
        <is>
          <t>MD-1405</t>
        </is>
      </c>
      <c r="B37" s="21" t="n">
        <v>45907</v>
      </c>
      <c r="C37" s="4" t="inlineStr">
        <is>
          <t>Carabanchel</t>
        </is>
      </c>
      <c r="D37" s="4" t="n">
        <v>100</v>
      </c>
      <c r="E37" s="4" t="inlineStr">
        <is>
          <t>buen estado</t>
        </is>
      </c>
      <c r="F37" s="22" t="n">
        <v>320000</v>
      </c>
      <c r="G37" s="23" t="n">
        <v>3200</v>
      </c>
      <c r="H37" s="22" t="n"/>
      <c r="I37" s="23" t="n"/>
      <c r="J37" s="18" t="n"/>
      <c r="K37" s="24" t="n"/>
      <c r="L37" s="4" t="n">
        <v>0</v>
      </c>
      <c r="M37" s="4" t="inlineStr">
        <is>
          <t>sin muestra</t>
        </is>
      </c>
      <c r="N37" s="4" t="inlineStr">
        <is>
          <t>no valorable</t>
        </is>
      </c>
      <c r="O37" s="4" t="inlineStr">
        <is>
          <t>ventana inicial sin histórico</t>
        </is>
      </c>
    </row>
    <row r="38">
      <c r="A38" s="4" t="inlineStr">
        <is>
          <t>MD-1895</t>
        </is>
      </c>
      <c r="B38" s="21" t="n">
        <v>45907</v>
      </c>
      <c r="C38" s="4" t="inlineStr">
        <is>
          <t>Chamartin</t>
        </is>
      </c>
      <c r="D38" s="4" t="n">
        <v>123</v>
      </c>
      <c r="E38" s="4" t="inlineStr">
        <is>
          <t>buen estado</t>
        </is>
      </c>
      <c r="F38" s="22" t="n">
        <v>875000</v>
      </c>
      <c r="G38" s="23" t="n">
        <v>7113.82</v>
      </c>
      <c r="H38" s="22" t="n"/>
      <c r="I38" s="23" t="n"/>
      <c r="J38" s="18" t="n"/>
      <c r="K38" s="24" t="n"/>
      <c r="L38" s="4" t="n">
        <v>0</v>
      </c>
      <c r="M38" s="4" t="inlineStr">
        <is>
          <t>sin muestra</t>
        </is>
      </c>
      <c r="N38" s="4" t="inlineStr">
        <is>
          <t>no valorable</t>
        </is>
      </c>
      <c r="O38" s="4" t="inlineStr">
        <is>
          <t>ventana inicial sin histórico</t>
        </is>
      </c>
    </row>
    <row r="39">
      <c r="A39" s="4" t="inlineStr">
        <is>
          <t>MD-0480</t>
        </is>
      </c>
      <c r="B39" s="21" t="n">
        <v>45907</v>
      </c>
      <c r="C39" s="4" t="inlineStr">
        <is>
          <t>Puente de Vallecas</t>
        </is>
      </c>
      <c r="D39" s="4" t="n">
        <v>71</v>
      </c>
      <c r="E39" s="4" t="inlineStr">
        <is>
          <t>a reformar</t>
        </is>
      </c>
      <c r="F39" s="22" t="n">
        <v>199000</v>
      </c>
      <c r="G39" s="23" t="n">
        <v>2802.82</v>
      </c>
      <c r="H39" s="22" t="n"/>
      <c r="I39" s="23" t="n"/>
      <c r="J39" s="18" t="n"/>
      <c r="K39" s="24" t="n"/>
      <c r="L39" s="4" t="n">
        <v>3</v>
      </c>
      <c r="M39" s="4" t="inlineStr">
        <is>
          <t>sin muestra</t>
        </is>
      </c>
      <c r="N39" s="4" t="inlineStr">
        <is>
          <t>no valorable</t>
        </is>
      </c>
      <c r="O39" s="4" t="inlineStr">
        <is>
          <t>ventana inicial sin histórico</t>
        </is>
      </c>
    </row>
    <row r="40">
      <c r="A40" s="4" t="inlineStr">
        <is>
          <t>MD-0446</t>
        </is>
      </c>
      <c r="B40" s="21" t="n">
        <v>45907</v>
      </c>
      <c r="C40" s="4" t="inlineStr">
        <is>
          <t>Centro</t>
        </is>
      </c>
      <c r="D40" s="4" t="n">
        <v>36</v>
      </c>
      <c r="E40" s="4" t="inlineStr">
        <is>
          <t>buen estado</t>
        </is>
      </c>
      <c r="F40" s="22" t="n">
        <v>239000</v>
      </c>
      <c r="G40" s="23" t="n">
        <v>6638.89</v>
      </c>
      <c r="H40" s="22" t="n"/>
      <c r="I40" s="23" t="n"/>
      <c r="J40" s="18" t="n"/>
      <c r="K40" s="24" t="n"/>
      <c r="L40" s="4" t="n">
        <v>0</v>
      </c>
      <c r="M40" s="4" t="inlineStr">
        <is>
          <t>sin muestra</t>
        </is>
      </c>
      <c r="N40" s="4" t="inlineStr">
        <is>
          <t>no valorable</t>
        </is>
      </c>
      <c r="O40" s="4" t="inlineStr">
        <is>
          <t>ventana inicial sin histórico</t>
        </is>
      </c>
    </row>
    <row r="41">
      <c r="A41" s="4" t="inlineStr">
        <is>
          <t>MD-0634</t>
        </is>
      </c>
      <c r="B41" s="21" t="n">
        <v>45908</v>
      </c>
      <c r="C41" s="4" t="inlineStr">
        <is>
          <t>Chamartin</t>
        </is>
      </c>
      <c r="D41" s="4" t="n">
        <v>182</v>
      </c>
      <c r="E41" s="4" t="inlineStr">
        <is>
          <t>a reformar</t>
        </is>
      </c>
      <c r="F41" s="22" t="n">
        <v>1415000</v>
      </c>
      <c r="G41" s="23" t="n">
        <v>7774.73</v>
      </c>
      <c r="H41" s="22" t="n"/>
      <c r="I41" s="23" t="n"/>
      <c r="J41" s="18" t="n"/>
      <c r="K41" s="24" t="n"/>
      <c r="L41" s="4" t="n">
        <v>1</v>
      </c>
      <c r="M41" s="4" t="inlineStr">
        <is>
          <t>sin muestra</t>
        </is>
      </c>
      <c r="N41" s="4" t="inlineStr">
        <is>
          <t>no valorable</t>
        </is>
      </c>
      <c r="O41" s="4" t="inlineStr">
        <is>
          <t>ventana inicial sin histórico</t>
        </is>
      </c>
    </row>
    <row r="42">
      <c r="A42" s="4" t="inlineStr">
        <is>
          <t>MD-1142</t>
        </is>
      </c>
      <c r="B42" s="21" t="n">
        <v>45908</v>
      </c>
      <c r="C42" s="4" t="inlineStr">
        <is>
          <t>Tetuan</t>
        </is>
      </c>
      <c r="D42" s="4" t="n">
        <v>38</v>
      </c>
      <c r="E42" s="4" t="inlineStr">
        <is>
          <t>buen estado</t>
        </is>
      </c>
      <c r="F42" s="22" t="n">
        <v>224000</v>
      </c>
      <c r="G42" s="23" t="n">
        <v>5894.74</v>
      </c>
      <c r="H42" s="22" t="n"/>
      <c r="I42" s="23" t="n"/>
      <c r="J42" s="18" t="n"/>
      <c r="K42" s="24" t="n"/>
      <c r="L42" s="4" t="n">
        <v>0</v>
      </c>
      <c r="M42" s="4" t="inlineStr">
        <is>
          <t>sin muestra</t>
        </is>
      </c>
      <c r="N42" s="4" t="inlineStr">
        <is>
          <t>no valorable</t>
        </is>
      </c>
      <c r="O42" s="4" t="inlineStr">
        <is>
          <t>ventana inicial sin histórico</t>
        </is>
      </c>
    </row>
    <row r="43">
      <c r="A43" s="4" t="inlineStr">
        <is>
          <t>MD-1174</t>
        </is>
      </c>
      <c r="B43" s="21" t="n">
        <v>45908</v>
      </c>
      <c r="C43" s="4" t="inlineStr">
        <is>
          <t>Hortaleza</t>
        </is>
      </c>
      <c r="D43" s="4" t="n">
        <v>86</v>
      </c>
      <c r="E43" s="4" t="inlineStr">
        <is>
          <t>buen estado</t>
        </is>
      </c>
      <c r="F43" s="22" t="n">
        <v>330000</v>
      </c>
      <c r="G43" s="23" t="n">
        <v>3837.21</v>
      </c>
      <c r="H43" s="22" t="n"/>
      <c r="I43" s="23" t="n"/>
      <c r="J43" s="18" t="n"/>
      <c r="K43" s="24" t="n"/>
      <c r="L43" s="4" t="n">
        <v>1</v>
      </c>
      <c r="M43" s="4" t="inlineStr">
        <is>
          <t>sin muestra</t>
        </is>
      </c>
      <c r="N43" s="4" t="inlineStr">
        <is>
          <t>no valorable</t>
        </is>
      </c>
      <c r="O43" s="4" t="inlineStr">
        <is>
          <t>ventana inicial sin histórico</t>
        </is>
      </c>
    </row>
    <row r="44">
      <c r="A44" s="4" t="inlineStr">
        <is>
          <t>MD-0329</t>
        </is>
      </c>
      <c r="B44" s="21" t="n">
        <v>45908</v>
      </c>
      <c r="C44" s="4" t="inlineStr">
        <is>
          <t>Chamartin</t>
        </is>
      </c>
      <c r="D44" s="4" t="n">
        <v>90</v>
      </c>
      <c r="E44" s="4" t="inlineStr">
        <is>
          <t>reformado</t>
        </is>
      </c>
      <c r="F44" s="22" t="n">
        <v>681000</v>
      </c>
      <c r="G44" s="23" t="n">
        <v>7566.67</v>
      </c>
      <c r="H44" s="22" t="n"/>
      <c r="I44" s="23" t="n"/>
      <c r="J44" s="18" t="n"/>
      <c r="K44" s="24" t="n"/>
      <c r="L44" s="4" t="n">
        <v>0</v>
      </c>
      <c r="M44" s="4" t="inlineStr">
        <is>
          <t>sin muestra</t>
        </is>
      </c>
      <c r="N44" s="4" t="inlineStr">
        <is>
          <t>no valorable</t>
        </is>
      </c>
      <c r="O44" s="4" t="inlineStr">
        <is>
          <t>ventana inicial sin histórico</t>
        </is>
      </c>
    </row>
    <row r="45">
      <c r="A45" s="4" t="inlineStr">
        <is>
          <t>MD-1412</t>
        </is>
      </c>
      <c r="B45" s="21" t="n">
        <v>45908</v>
      </c>
      <c r="C45" s="4" t="inlineStr">
        <is>
          <t>Latina</t>
        </is>
      </c>
      <c r="D45" s="4" t="n">
        <v>56</v>
      </c>
      <c r="E45" s="4" t="inlineStr">
        <is>
          <t>buen estado</t>
        </is>
      </c>
      <c r="F45" s="22" t="n">
        <v>182000</v>
      </c>
      <c r="G45" s="23" t="n">
        <v>3250</v>
      </c>
      <c r="H45" s="22" t="n"/>
      <c r="I45" s="23" t="n"/>
      <c r="J45" s="18" t="n"/>
      <c r="K45" s="24" t="n"/>
      <c r="L45" s="4" t="n">
        <v>3</v>
      </c>
      <c r="M45" s="4" t="inlineStr">
        <is>
          <t>sin muestra</t>
        </is>
      </c>
      <c r="N45" s="4" t="inlineStr">
        <is>
          <t>no valorable</t>
        </is>
      </c>
      <c r="O45" s="4" t="inlineStr">
        <is>
          <t>ventana inicial sin histórico</t>
        </is>
      </c>
    </row>
    <row r="46">
      <c r="A46" s="4" t="inlineStr">
        <is>
          <t>MD-0497</t>
        </is>
      </c>
      <c r="B46" s="21" t="n">
        <v>45909</v>
      </c>
      <c r="C46" s="4" t="inlineStr">
        <is>
          <t>Ciudad Lineal</t>
        </is>
      </c>
      <c r="D46" s="4" t="n">
        <v>81</v>
      </c>
      <c r="E46" s="4" t="inlineStr">
        <is>
          <t>a reformar</t>
        </is>
      </c>
      <c r="F46" s="22" t="n">
        <v>264000</v>
      </c>
      <c r="G46" s="23" t="n">
        <v>3259.26</v>
      </c>
      <c r="H46" s="22" t="n"/>
      <c r="I46" s="23" t="n"/>
      <c r="J46" s="18" t="n"/>
      <c r="K46" s="24" t="n"/>
      <c r="L46" s="4" t="n">
        <v>0</v>
      </c>
      <c r="M46" s="4" t="inlineStr">
        <is>
          <t>sin muestra</t>
        </is>
      </c>
      <c r="N46" s="4" t="inlineStr">
        <is>
          <t>no valorable</t>
        </is>
      </c>
      <c r="O46" s="4" t="inlineStr">
        <is>
          <t>ventana inicial sin histórico</t>
        </is>
      </c>
    </row>
    <row r="47">
      <c r="A47" s="4" t="inlineStr">
        <is>
          <t>MD-1833</t>
        </is>
      </c>
      <c r="B47" s="21" t="n">
        <v>45909</v>
      </c>
      <c r="C47" s="4" t="inlineStr">
        <is>
          <t>Puente de Vallecas</t>
        </is>
      </c>
      <c r="D47" s="4" t="n">
        <v>99</v>
      </c>
      <c r="E47" s="4" t="inlineStr">
        <is>
          <t>a reformar</t>
        </is>
      </c>
      <c r="F47" s="22" t="n">
        <v>258000</v>
      </c>
      <c r="G47" s="23" t="n">
        <v>2606.06</v>
      </c>
      <c r="H47" s="22" t="n"/>
      <c r="I47" s="23" t="n"/>
      <c r="J47" s="18" t="n"/>
      <c r="K47" s="24" t="n"/>
      <c r="L47" s="4" t="n">
        <v>1</v>
      </c>
      <c r="M47" s="4" t="inlineStr">
        <is>
          <t>sin muestra</t>
        </is>
      </c>
      <c r="N47" s="4" t="inlineStr">
        <is>
          <t>no valorable</t>
        </is>
      </c>
      <c r="O47" s="4" t="inlineStr">
        <is>
          <t>ventana inicial sin histórico</t>
        </is>
      </c>
    </row>
    <row r="48">
      <c r="A48" s="4" t="inlineStr">
        <is>
          <t>MD-0210</t>
        </is>
      </c>
      <c r="B48" s="21" t="n">
        <v>45909</v>
      </c>
      <c r="C48" s="4" t="inlineStr">
        <is>
          <t>Centro</t>
        </is>
      </c>
      <c r="D48" s="4" t="n">
        <v>74</v>
      </c>
      <c r="E48" s="4" t="inlineStr">
        <is>
          <t>a reformar</t>
        </is>
      </c>
      <c r="F48" s="22" t="n">
        <v>384000</v>
      </c>
      <c r="G48" s="23" t="n">
        <v>5189.19</v>
      </c>
      <c r="H48" s="22" t="n"/>
      <c r="I48" s="23" t="n"/>
      <c r="J48" s="18" t="n"/>
      <c r="K48" s="24" t="n"/>
      <c r="L48" s="4" t="n">
        <v>0</v>
      </c>
      <c r="M48" s="4" t="inlineStr">
        <is>
          <t>sin muestra</t>
        </is>
      </c>
      <c r="N48" s="4" t="inlineStr">
        <is>
          <t>no valorable</t>
        </is>
      </c>
      <c r="O48" s="4" t="inlineStr">
        <is>
          <t>ventana inicial sin histórico</t>
        </is>
      </c>
    </row>
    <row r="49">
      <c r="A49" s="4" t="inlineStr">
        <is>
          <t>MD-1580</t>
        </is>
      </c>
      <c r="B49" s="21" t="n">
        <v>45909</v>
      </c>
      <c r="C49" s="4" t="inlineStr">
        <is>
          <t>Arganzuela</t>
        </is>
      </c>
      <c r="D49" s="4" t="n">
        <v>119</v>
      </c>
      <c r="E49" s="4" t="inlineStr">
        <is>
          <t>buen estado</t>
        </is>
      </c>
      <c r="F49" s="22" t="n">
        <v>782000</v>
      </c>
      <c r="G49" s="23" t="n">
        <v>6571.43</v>
      </c>
      <c r="H49" s="22" t="n"/>
      <c r="I49" s="23" t="n"/>
      <c r="J49" s="18" t="n"/>
      <c r="K49" s="24" t="n"/>
      <c r="L49" s="4" t="n">
        <v>0</v>
      </c>
      <c r="M49" s="4" t="inlineStr">
        <is>
          <t>sin muestra</t>
        </is>
      </c>
      <c r="N49" s="4" t="inlineStr">
        <is>
          <t>no valorable</t>
        </is>
      </c>
      <c r="O49" s="4" t="inlineStr">
        <is>
          <t>ventana inicial sin histórico</t>
        </is>
      </c>
    </row>
    <row r="50">
      <c r="A50" s="4" t="inlineStr">
        <is>
          <t>MD-1767</t>
        </is>
      </c>
      <c r="B50" s="21" t="n">
        <v>45909</v>
      </c>
      <c r="C50" s="4" t="inlineStr">
        <is>
          <t>Puente de Vallecas</t>
        </is>
      </c>
      <c r="D50" s="4" t="n">
        <v>46</v>
      </c>
      <c r="E50" s="4" t="inlineStr">
        <is>
          <t>buen estado</t>
        </is>
      </c>
      <c r="F50" s="22" t="n">
        <v>129000</v>
      </c>
      <c r="G50" s="23" t="n">
        <v>2804.35</v>
      </c>
      <c r="H50" s="22" t="n"/>
      <c r="I50" s="23" t="n"/>
      <c r="J50" s="18" t="n"/>
      <c r="K50" s="24" t="n"/>
      <c r="L50" s="4" t="n">
        <v>0</v>
      </c>
      <c r="M50" s="4" t="inlineStr">
        <is>
          <t>sin muestra</t>
        </is>
      </c>
      <c r="N50" s="4" t="inlineStr">
        <is>
          <t>no valorable</t>
        </is>
      </c>
      <c r="O50" s="4" t="inlineStr">
        <is>
          <t>ventana inicial sin histórico</t>
        </is>
      </c>
    </row>
    <row r="51">
      <c r="A51" s="4" t="inlineStr">
        <is>
          <t>MD-0023</t>
        </is>
      </c>
      <c r="B51" s="21" t="n">
        <v>45909</v>
      </c>
      <c r="C51" s="4" t="inlineStr">
        <is>
          <t>Barajas</t>
        </is>
      </c>
      <c r="D51" s="4" t="n">
        <v>67</v>
      </c>
      <c r="E51" s="4" t="inlineStr">
        <is>
          <t>buen estado</t>
        </is>
      </c>
      <c r="F51" s="22" t="n">
        <v>274000</v>
      </c>
      <c r="G51" s="23" t="n">
        <v>4089.55</v>
      </c>
      <c r="H51" s="22" t="n"/>
      <c r="I51" s="23" t="n"/>
      <c r="J51" s="18" t="n"/>
      <c r="K51" s="24" t="n"/>
      <c r="L51" s="4" t="n">
        <v>0</v>
      </c>
      <c r="M51" s="4" t="inlineStr">
        <is>
          <t>sin muestra</t>
        </is>
      </c>
      <c r="N51" s="4" t="inlineStr">
        <is>
          <t>no valorable</t>
        </is>
      </c>
      <c r="O51" s="4" t="inlineStr">
        <is>
          <t>ventana inicial sin histórico</t>
        </is>
      </c>
    </row>
    <row r="52">
      <c r="A52" s="4" t="inlineStr">
        <is>
          <t>MD-0119</t>
        </is>
      </c>
      <c r="B52" s="21" t="n">
        <v>45909</v>
      </c>
      <c r="C52" s="4" t="inlineStr">
        <is>
          <t>Arganzuela</t>
        </is>
      </c>
      <c r="D52" s="4" t="n">
        <v>79</v>
      </c>
      <c r="E52" s="4" t="inlineStr">
        <is>
          <t>obra nueva</t>
        </is>
      </c>
      <c r="F52" s="22" t="n">
        <v>649000</v>
      </c>
      <c r="G52" s="23" t="n">
        <v>8215.190000000001</v>
      </c>
      <c r="H52" s="22" t="n"/>
      <c r="I52" s="23" t="n"/>
      <c r="J52" s="18" t="n"/>
      <c r="K52" s="24" t="n"/>
      <c r="L52" s="4" t="n">
        <v>0</v>
      </c>
      <c r="M52" s="4" t="inlineStr">
        <is>
          <t>sin muestra</t>
        </is>
      </c>
      <c r="N52" s="4" t="inlineStr">
        <is>
          <t>no valorable</t>
        </is>
      </c>
      <c r="O52" s="4" t="inlineStr">
        <is>
          <t>ventana inicial sin histórico</t>
        </is>
      </c>
    </row>
    <row r="53">
      <c r="A53" s="4" t="inlineStr">
        <is>
          <t>MD-0683</t>
        </is>
      </c>
      <c r="B53" s="21" t="n">
        <v>45909</v>
      </c>
      <c r="C53" s="4" t="inlineStr">
        <is>
          <t>Retiro</t>
        </is>
      </c>
      <c r="D53" s="4" t="n">
        <v>119</v>
      </c>
      <c r="E53" s="4" t="inlineStr">
        <is>
          <t>buen estado</t>
        </is>
      </c>
      <c r="F53" s="22" t="n">
        <v>961000</v>
      </c>
      <c r="G53" s="23" t="n">
        <v>8075.63</v>
      </c>
      <c r="H53" s="22" t="n"/>
      <c r="I53" s="23" t="n"/>
      <c r="J53" s="18" t="n"/>
      <c r="K53" s="24" t="n"/>
      <c r="L53" s="4" t="n">
        <v>1</v>
      </c>
      <c r="M53" s="4" t="inlineStr">
        <is>
          <t>sin muestra</t>
        </is>
      </c>
      <c r="N53" s="4" t="inlineStr">
        <is>
          <t>no valorable</t>
        </is>
      </c>
      <c r="O53" s="4" t="inlineStr">
        <is>
          <t>ventana inicial sin histórico</t>
        </is>
      </c>
    </row>
    <row r="54">
      <c r="A54" s="4" t="inlineStr">
        <is>
          <t>MD-1179</t>
        </is>
      </c>
      <c r="B54" s="21" t="n">
        <v>45909</v>
      </c>
      <c r="C54" s="4" t="inlineStr">
        <is>
          <t>Chamberi</t>
        </is>
      </c>
      <c r="D54" s="4" t="n">
        <v>115</v>
      </c>
      <c r="E54" s="4" t="inlineStr">
        <is>
          <t>a reformar</t>
        </is>
      </c>
      <c r="F54" s="22" t="n">
        <v>551000</v>
      </c>
      <c r="G54" s="23" t="n">
        <v>4791.3</v>
      </c>
      <c r="H54" s="22" t="n"/>
      <c r="I54" s="23" t="n"/>
      <c r="J54" s="18" t="n"/>
      <c r="K54" s="24" t="n"/>
      <c r="L54" s="4" t="n">
        <v>0</v>
      </c>
      <c r="M54" s="4" t="inlineStr">
        <is>
          <t>sin muestra</t>
        </is>
      </c>
      <c r="N54" s="4" t="inlineStr">
        <is>
          <t>no valorable</t>
        </is>
      </c>
      <c r="O54" s="4" t="inlineStr">
        <is>
          <t>ventana inicial sin histórico</t>
        </is>
      </c>
    </row>
    <row r="55">
      <c r="A55" s="4" t="inlineStr">
        <is>
          <t>MD-1160</t>
        </is>
      </c>
      <c r="B55" s="21" t="n">
        <v>45909</v>
      </c>
      <c r="C55" s="4" t="inlineStr">
        <is>
          <t>Arganzuela</t>
        </is>
      </c>
      <c r="D55" s="4" t="n">
        <v>140</v>
      </c>
      <c r="E55" s="4" t="inlineStr">
        <is>
          <t>buen estado</t>
        </is>
      </c>
      <c r="F55" s="22" t="n">
        <v>854000</v>
      </c>
      <c r="G55" s="23" t="n">
        <v>6100</v>
      </c>
      <c r="H55" s="22" t="n"/>
      <c r="I55" s="23" t="n"/>
      <c r="J55" s="18" t="n"/>
      <c r="K55" s="24" t="n"/>
      <c r="L55" s="4" t="n">
        <v>0</v>
      </c>
      <c r="M55" s="4" t="inlineStr">
        <is>
          <t>sin muestra</t>
        </is>
      </c>
      <c r="N55" s="4" t="inlineStr">
        <is>
          <t>no valorable</t>
        </is>
      </c>
      <c r="O55" s="4" t="inlineStr">
        <is>
          <t>ventana inicial sin histórico</t>
        </is>
      </c>
    </row>
    <row r="56">
      <c r="A56" s="4" t="inlineStr">
        <is>
          <t>MD-1441</t>
        </is>
      </c>
      <c r="B56" s="21" t="n">
        <v>45909</v>
      </c>
      <c r="C56" s="4" t="inlineStr">
        <is>
          <t>Fuencarral-El Pardo</t>
        </is>
      </c>
      <c r="D56" s="4" t="n">
        <v>48</v>
      </c>
      <c r="E56" s="4" t="inlineStr">
        <is>
          <t>buen estado</t>
        </is>
      </c>
      <c r="F56" s="22" t="n">
        <v>354000</v>
      </c>
      <c r="G56" s="23" t="n">
        <v>7375</v>
      </c>
      <c r="H56" s="22" t="n"/>
      <c r="I56" s="23" t="n"/>
      <c r="J56" s="18" t="n"/>
      <c r="K56" s="24" t="n"/>
      <c r="L56" s="4" t="n">
        <v>0</v>
      </c>
      <c r="M56" s="4" t="inlineStr">
        <is>
          <t>sin muestra</t>
        </is>
      </c>
      <c r="N56" s="4" t="inlineStr">
        <is>
          <t>no valorable</t>
        </is>
      </c>
      <c r="O56" s="4" t="inlineStr">
        <is>
          <t>ventana inicial sin histórico</t>
        </is>
      </c>
    </row>
    <row r="57">
      <c r="A57" s="4" t="inlineStr">
        <is>
          <t>MD-1316</t>
        </is>
      </c>
      <c r="B57" s="21" t="n">
        <v>45910</v>
      </c>
      <c r="C57" s="4" t="inlineStr">
        <is>
          <t>Latina</t>
        </is>
      </c>
      <c r="D57" s="4" t="n">
        <v>44</v>
      </c>
      <c r="E57" s="4" t="inlineStr">
        <is>
          <t>buen estado</t>
        </is>
      </c>
      <c r="F57" s="22" t="n">
        <v>162000</v>
      </c>
      <c r="G57" s="23" t="n">
        <v>3681.82</v>
      </c>
      <c r="H57" s="22" t="n"/>
      <c r="I57" s="23" t="n"/>
      <c r="J57" s="18" t="n"/>
      <c r="K57" s="24" t="n"/>
      <c r="L57" s="4" t="n">
        <v>3</v>
      </c>
      <c r="M57" s="4" t="inlineStr">
        <is>
          <t>sin muestra</t>
        </is>
      </c>
      <c r="N57" s="4" t="inlineStr">
        <is>
          <t>no valorable</t>
        </is>
      </c>
      <c r="O57" s="4" t="inlineStr">
        <is>
          <t>ventana inicial sin histórico</t>
        </is>
      </c>
    </row>
    <row r="58">
      <c r="A58" s="4" t="inlineStr">
        <is>
          <t>MD-0139</t>
        </is>
      </c>
      <c r="B58" s="21" t="n">
        <v>45910</v>
      </c>
      <c r="C58" s="4" t="inlineStr">
        <is>
          <t>Fuencarral-El Pardo</t>
        </is>
      </c>
      <c r="D58" s="4" t="n">
        <v>84</v>
      </c>
      <c r="E58" s="4" t="inlineStr">
        <is>
          <t>a reformar</t>
        </is>
      </c>
      <c r="F58" s="22" t="n">
        <v>451000</v>
      </c>
      <c r="G58" s="23" t="n">
        <v>5369.05</v>
      </c>
      <c r="H58" s="22" t="n"/>
      <c r="I58" s="23" t="n"/>
      <c r="J58" s="18" t="n"/>
      <c r="K58" s="24" t="n"/>
      <c r="L58" s="4" t="n">
        <v>2</v>
      </c>
      <c r="M58" s="4" t="inlineStr">
        <is>
          <t>sin muestra</t>
        </is>
      </c>
      <c r="N58" s="4" t="inlineStr">
        <is>
          <t>no valorable</t>
        </is>
      </c>
      <c r="O58" s="4" t="inlineStr">
        <is>
          <t>ventana inicial sin histórico</t>
        </is>
      </c>
    </row>
    <row r="59">
      <c r="A59" s="4" t="inlineStr">
        <is>
          <t>MD-0893</t>
        </is>
      </c>
      <c r="B59" s="21" t="n">
        <v>45910</v>
      </c>
      <c r="C59" s="4" t="inlineStr">
        <is>
          <t>San Blas-Canillejas</t>
        </is>
      </c>
      <c r="D59" s="4" t="n">
        <v>48</v>
      </c>
      <c r="E59" s="4" t="inlineStr">
        <is>
          <t>buen estado</t>
        </is>
      </c>
      <c r="F59" s="22" t="n">
        <v>150000</v>
      </c>
      <c r="G59" s="23" t="n">
        <v>3125</v>
      </c>
      <c r="H59" s="22" t="n"/>
      <c r="I59" s="23" t="n"/>
      <c r="J59" s="18" t="n"/>
      <c r="K59" s="24" t="n"/>
      <c r="L59" s="4" t="n">
        <v>0</v>
      </c>
      <c r="M59" s="4" t="inlineStr">
        <is>
          <t>sin muestra</t>
        </is>
      </c>
      <c r="N59" s="4" t="inlineStr">
        <is>
          <t>no valorable</t>
        </is>
      </c>
      <c r="O59" s="4" t="inlineStr">
        <is>
          <t>ventana inicial sin histórico</t>
        </is>
      </c>
    </row>
    <row r="60">
      <c r="A60" s="4" t="inlineStr">
        <is>
          <t>MD-1119</t>
        </is>
      </c>
      <c r="B60" s="21" t="n">
        <v>45910</v>
      </c>
      <c r="C60" s="4" t="inlineStr">
        <is>
          <t>Carabanchel</t>
        </is>
      </c>
      <c r="D60" s="4" t="n">
        <v>100</v>
      </c>
      <c r="E60" s="4" t="inlineStr">
        <is>
          <t>obra nueva</t>
        </is>
      </c>
      <c r="F60" s="22" t="n">
        <v>384000</v>
      </c>
      <c r="G60" s="23" t="n">
        <v>3840</v>
      </c>
      <c r="H60" s="22" t="n"/>
      <c r="I60" s="23" t="n"/>
      <c r="J60" s="18" t="n"/>
      <c r="K60" s="24" t="n"/>
      <c r="L60" s="4" t="n">
        <v>1</v>
      </c>
      <c r="M60" s="4" t="inlineStr">
        <is>
          <t>sin muestra</t>
        </is>
      </c>
      <c r="N60" s="4" t="inlineStr">
        <is>
          <t>no valorable</t>
        </is>
      </c>
      <c r="O60" s="4" t="inlineStr">
        <is>
          <t>ventana inicial sin histórico</t>
        </is>
      </c>
    </row>
    <row r="61">
      <c r="A61" s="4" t="inlineStr">
        <is>
          <t>MD-1125</t>
        </is>
      </c>
      <c r="B61" s="21" t="n">
        <v>45911</v>
      </c>
      <c r="C61" s="4" t="inlineStr">
        <is>
          <t>Puente de Vallecas</t>
        </is>
      </c>
      <c r="D61" s="4" t="n">
        <v>40</v>
      </c>
      <c r="E61" s="4" t="inlineStr">
        <is>
          <t>reformado</t>
        </is>
      </c>
      <c r="F61" s="22" t="n">
        <v>121000</v>
      </c>
      <c r="G61" s="23" t="n">
        <v>3025</v>
      </c>
      <c r="H61" s="22" t="n"/>
      <c r="I61" s="23" t="n"/>
      <c r="J61" s="18" t="n"/>
      <c r="K61" s="24" t="n"/>
      <c r="L61" s="4" t="n">
        <v>1</v>
      </c>
      <c r="M61" s="4" t="inlineStr">
        <is>
          <t>sin muestra</t>
        </is>
      </c>
      <c r="N61" s="4" t="inlineStr">
        <is>
          <t>no valorable</t>
        </is>
      </c>
      <c r="O61" s="4" t="inlineStr">
        <is>
          <t>ventana inicial sin histórico</t>
        </is>
      </c>
    </row>
    <row r="62">
      <c r="A62" s="4" t="inlineStr">
        <is>
          <t>MD-1222</t>
        </is>
      </c>
      <c r="B62" s="21" t="n">
        <v>45911</v>
      </c>
      <c r="C62" s="4" t="inlineStr">
        <is>
          <t>Hortaleza</t>
        </is>
      </c>
      <c r="D62" s="4" t="n">
        <v>105</v>
      </c>
      <c r="E62" s="4" t="inlineStr">
        <is>
          <t>a reformar</t>
        </is>
      </c>
      <c r="F62" s="22" t="n">
        <v>535000</v>
      </c>
      <c r="G62" s="23" t="n">
        <v>5095.24</v>
      </c>
      <c r="H62" s="22" t="n"/>
      <c r="I62" s="23" t="n"/>
      <c r="J62" s="18" t="n"/>
      <c r="K62" s="24" t="n"/>
      <c r="L62" s="4" t="n">
        <v>2</v>
      </c>
      <c r="M62" s="4" t="inlineStr">
        <is>
          <t>sin muestra</t>
        </is>
      </c>
      <c r="N62" s="4" t="inlineStr">
        <is>
          <t>no valorable</t>
        </is>
      </c>
      <c r="O62" s="4" t="inlineStr">
        <is>
          <t>ventana inicial sin histórico</t>
        </is>
      </c>
    </row>
    <row r="63">
      <c r="A63" s="4" t="inlineStr">
        <is>
          <t>MD-0062</t>
        </is>
      </c>
      <c r="B63" s="21" t="n">
        <v>45911</v>
      </c>
      <c r="C63" s="4" t="inlineStr">
        <is>
          <t>Chamartin</t>
        </is>
      </c>
      <c r="D63" s="4" t="n">
        <v>105</v>
      </c>
      <c r="E63" s="4" t="inlineStr">
        <is>
          <t>buen estado</t>
        </is>
      </c>
      <c r="F63" s="22" t="n">
        <v>786000</v>
      </c>
      <c r="G63" s="23" t="n">
        <v>7485.71</v>
      </c>
      <c r="H63" s="22" t="n"/>
      <c r="I63" s="23" t="n"/>
      <c r="J63" s="18" t="n"/>
      <c r="K63" s="24" t="n"/>
      <c r="L63" s="4" t="n">
        <v>2</v>
      </c>
      <c r="M63" s="4" t="inlineStr">
        <is>
          <t>sin muestra</t>
        </is>
      </c>
      <c r="N63" s="4" t="inlineStr">
        <is>
          <t>no valorable</t>
        </is>
      </c>
      <c r="O63" s="4" t="inlineStr">
        <is>
          <t>ventana inicial sin histórico</t>
        </is>
      </c>
    </row>
    <row r="64">
      <c r="A64" s="4" t="inlineStr">
        <is>
          <t>MD-0826</t>
        </is>
      </c>
      <c r="B64" s="21" t="n">
        <v>45911</v>
      </c>
      <c r="C64" s="4" t="inlineStr">
        <is>
          <t>Vicalvaro</t>
        </is>
      </c>
      <c r="D64" s="4" t="n">
        <v>68</v>
      </c>
      <c r="E64" s="4" t="inlineStr">
        <is>
          <t>reformado</t>
        </is>
      </c>
      <c r="F64" s="22" t="n">
        <v>301000</v>
      </c>
      <c r="G64" s="23" t="n">
        <v>4426.47</v>
      </c>
      <c r="H64" s="22" t="n"/>
      <c r="I64" s="23" t="n"/>
      <c r="J64" s="18" t="n"/>
      <c r="K64" s="24" t="n"/>
      <c r="L64" s="4" t="n">
        <v>1</v>
      </c>
      <c r="M64" s="4" t="inlineStr">
        <is>
          <t>sin muestra</t>
        </is>
      </c>
      <c r="N64" s="4" t="inlineStr">
        <is>
          <t>no valorable</t>
        </is>
      </c>
      <c r="O64" s="4" t="inlineStr">
        <is>
          <t>ventana inicial sin histórico</t>
        </is>
      </c>
    </row>
    <row r="65">
      <c r="A65" s="4" t="inlineStr">
        <is>
          <t>MD-0715</t>
        </is>
      </c>
      <c r="B65" s="21" t="n">
        <v>45911</v>
      </c>
      <c r="C65" s="4" t="inlineStr">
        <is>
          <t>Puente de Vallecas</t>
        </is>
      </c>
      <c r="D65" s="4" t="n">
        <v>51</v>
      </c>
      <c r="E65" s="4" t="inlineStr">
        <is>
          <t>buen estado</t>
        </is>
      </c>
      <c r="F65" s="22" t="n">
        <v>154000</v>
      </c>
      <c r="G65" s="23" t="n">
        <v>3019.61</v>
      </c>
      <c r="H65" s="22" t="n"/>
      <c r="I65" s="23" t="n"/>
      <c r="J65" s="18" t="n"/>
      <c r="K65" s="24" t="n"/>
      <c r="L65" s="4" t="n">
        <v>2</v>
      </c>
      <c r="M65" s="4" t="inlineStr">
        <is>
          <t>sin muestra</t>
        </is>
      </c>
      <c r="N65" s="4" t="inlineStr">
        <is>
          <t>no valorable</t>
        </is>
      </c>
      <c r="O65" s="4" t="inlineStr">
        <is>
          <t>ventana inicial sin histórico</t>
        </is>
      </c>
    </row>
    <row r="66">
      <c r="A66" s="4" t="inlineStr">
        <is>
          <t>MD-0409</t>
        </is>
      </c>
      <c r="B66" s="21" t="n">
        <v>45912</v>
      </c>
      <c r="C66" s="4" t="inlineStr">
        <is>
          <t>San Blas-Canillejas</t>
        </is>
      </c>
      <c r="D66" s="4" t="n">
        <v>52</v>
      </c>
      <c r="E66" s="4" t="inlineStr">
        <is>
          <t>reformado</t>
        </is>
      </c>
      <c r="F66" s="22" t="n">
        <v>235000</v>
      </c>
      <c r="G66" s="23" t="n">
        <v>4519.23</v>
      </c>
      <c r="H66" s="22" t="n"/>
      <c r="I66" s="23" t="n"/>
      <c r="J66" s="18" t="n"/>
      <c r="K66" s="24" t="n"/>
      <c r="L66" s="4" t="n">
        <v>2</v>
      </c>
      <c r="M66" s="4" t="inlineStr">
        <is>
          <t>sin muestra</t>
        </is>
      </c>
      <c r="N66" s="4" t="inlineStr">
        <is>
          <t>no valorable</t>
        </is>
      </c>
      <c r="O66" s="4" t="inlineStr">
        <is>
          <t>ventana inicial sin histórico</t>
        </is>
      </c>
    </row>
    <row r="67">
      <c r="A67" s="4" t="inlineStr">
        <is>
          <t>MD-1557</t>
        </is>
      </c>
      <c r="B67" s="21" t="n">
        <v>45912</v>
      </c>
      <c r="C67" s="4" t="inlineStr">
        <is>
          <t>Chamartin</t>
        </is>
      </c>
      <c r="D67" s="4" t="n">
        <v>184</v>
      </c>
      <c r="E67" s="4" t="inlineStr">
        <is>
          <t>reformado</t>
        </is>
      </c>
      <c r="F67" s="22" t="n">
        <v>1771000</v>
      </c>
      <c r="G67" s="23" t="n">
        <v>9625</v>
      </c>
      <c r="H67" s="22" t="n"/>
      <c r="I67" s="23" t="n"/>
      <c r="J67" s="18" t="n"/>
      <c r="K67" s="24" t="n"/>
      <c r="L67" s="4" t="n">
        <v>2</v>
      </c>
      <c r="M67" s="4" t="inlineStr">
        <is>
          <t>sin muestra</t>
        </is>
      </c>
      <c r="N67" s="4" t="inlineStr">
        <is>
          <t>no valorable</t>
        </is>
      </c>
      <c r="O67" s="4" t="inlineStr">
        <is>
          <t>ventana inicial sin histórico</t>
        </is>
      </c>
    </row>
    <row r="68">
      <c r="A68" s="4" t="inlineStr">
        <is>
          <t>MD-0903</t>
        </is>
      </c>
      <c r="B68" s="21" t="n">
        <v>45912</v>
      </c>
      <c r="C68" s="4" t="inlineStr">
        <is>
          <t>Puente de Vallecas</t>
        </is>
      </c>
      <c r="D68" s="4" t="n">
        <v>81</v>
      </c>
      <c r="E68" s="4" t="inlineStr">
        <is>
          <t>buen estado</t>
        </is>
      </c>
      <c r="F68" s="22" t="n">
        <v>171000</v>
      </c>
      <c r="G68" s="23" t="n">
        <v>2111.11</v>
      </c>
      <c r="H68" s="22" t="n"/>
      <c r="I68" s="23" t="n"/>
      <c r="J68" s="18" t="n"/>
      <c r="K68" s="24" t="n"/>
      <c r="L68" s="4" t="n">
        <v>2</v>
      </c>
      <c r="M68" s="4" t="inlineStr">
        <is>
          <t>sin muestra</t>
        </is>
      </c>
      <c r="N68" s="4" t="inlineStr">
        <is>
          <t>no valorable</t>
        </is>
      </c>
      <c r="O68" s="4" t="inlineStr">
        <is>
          <t>ventana inicial sin histórico</t>
        </is>
      </c>
    </row>
    <row r="69">
      <c r="A69" s="4" t="inlineStr">
        <is>
          <t>MD-1421</t>
        </is>
      </c>
      <c r="B69" s="21" t="n">
        <v>45913</v>
      </c>
      <c r="C69" s="4" t="inlineStr">
        <is>
          <t>Usera</t>
        </is>
      </c>
      <c r="D69" s="4" t="n">
        <v>80</v>
      </c>
      <c r="E69" s="4" t="inlineStr">
        <is>
          <t>reformado</t>
        </is>
      </c>
      <c r="F69" s="22" t="n">
        <v>224000</v>
      </c>
      <c r="G69" s="23" t="n">
        <v>2800</v>
      </c>
      <c r="H69" s="22" t="n"/>
      <c r="I69" s="23" t="n"/>
      <c r="J69" s="18" t="n"/>
      <c r="K69" s="24" t="n"/>
      <c r="L69" s="4" t="n">
        <v>2</v>
      </c>
      <c r="M69" s="4" t="inlineStr">
        <is>
          <t>sin muestra</t>
        </is>
      </c>
      <c r="N69" s="4" t="inlineStr">
        <is>
          <t>no valorable</t>
        </is>
      </c>
      <c r="O69" s="4" t="inlineStr">
        <is>
          <t>ventana inicial sin histórico</t>
        </is>
      </c>
    </row>
    <row r="70">
      <c r="A70" s="4" t="inlineStr">
        <is>
          <t>MD-0543</t>
        </is>
      </c>
      <c r="B70" s="21" t="n">
        <v>45913</v>
      </c>
      <c r="C70" s="4" t="inlineStr">
        <is>
          <t>Tetuan</t>
        </is>
      </c>
      <c r="D70" s="4" t="n">
        <v>76</v>
      </c>
      <c r="E70" s="4" t="inlineStr">
        <is>
          <t>buen estado</t>
        </is>
      </c>
      <c r="F70" s="22" t="n">
        <v>348000</v>
      </c>
      <c r="G70" s="23" t="n">
        <v>4578.95</v>
      </c>
      <c r="H70" s="22" t="n"/>
      <c r="I70" s="23" t="n"/>
      <c r="J70" s="18" t="n"/>
      <c r="K70" s="24" t="n"/>
      <c r="L70" s="4" t="n">
        <v>0</v>
      </c>
      <c r="M70" s="4" t="inlineStr">
        <is>
          <t>sin muestra</t>
        </is>
      </c>
      <c r="N70" s="4" t="inlineStr">
        <is>
          <t>no valorable</t>
        </is>
      </c>
      <c r="O70" s="4" t="inlineStr">
        <is>
          <t>ventana inicial sin histórico</t>
        </is>
      </c>
    </row>
    <row r="71">
      <c r="A71" s="4" t="inlineStr">
        <is>
          <t>MD-1456</t>
        </is>
      </c>
      <c r="B71" s="21" t="n">
        <v>45913</v>
      </c>
      <c r="C71" s="4" t="inlineStr">
        <is>
          <t>Salamanca</t>
        </is>
      </c>
      <c r="D71" s="4" t="n">
        <v>72</v>
      </c>
      <c r="E71" s="4" t="inlineStr">
        <is>
          <t>buen estado</t>
        </is>
      </c>
      <c r="F71" s="22" t="n">
        <v>606000</v>
      </c>
      <c r="G71" s="23" t="n">
        <v>8416.67</v>
      </c>
      <c r="H71" s="22" t="n"/>
      <c r="I71" s="23" t="n"/>
      <c r="J71" s="18" t="n"/>
      <c r="K71" s="24" t="n"/>
      <c r="L71" s="4" t="n">
        <v>1</v>
      </c>
      <c r="M71" s="4" t="inlineStr">
        <is>
          <t>sin muestra</t>
        </is>
      </c>
      <c r="N71" s="4" t="inlineStr">
        <is>
          <t>no valorable</t>
        </is>
      </c>
      <c r="O71" s="4" t="inlineStr">
        <is>
          <t>ventana inicial sin histórico</t>
        </is>
      </c>
    </row>
    <row r="72">
      <c r="A72" s="4" t="inlineStr">
        <is>
          <t>MD-0621</t>
        </is>
      </c>
      <c r="B72" s="21" t="n">
        <v>45913</v>
      </c>
      <c r="C72" s="4" t="inlineStr">
        <is>
          <t>Carabanchel</t>
        </is>
      </c>
      <c r="D72" s="4" t="n">
        <v>94</v>
      </c>
      <c r="E72" s="4" t="inlineStr">
        <is>
          <t>buen estado</t>
        </is>
      </c>
      <c r="F72" s="22" t="n">
        <v>242000</v>
      </c>
      <c r="G72" s="23" t="n">
        <v>2574.47</v>
      </c>
      <c r="H72" s="22" t="n"/>
      <c r="I72" s="23" t="n"/>
      <c r="J72" s="18" t="n"/>
      <c r="K72" s="24" t="n"/>
      <c r="L72" s="4" t="n">
        <v>2</v>
      </c>
      <c r="M72" s="4" t="inlineStr">
        <is>
          <t>sin muestra</t>
        </is>
      </c>
      <c r="N72" s="4" t="inlineStr">
        <is>
          <t>no valorable</t>
        </is>
      </c>
      <c r="O72" s="4" t="inlineStr">
        <is>
          <t>ventana inicial sin histórico</t>
        </is>
      </c>
    </row>
    <row r="73">
      <c r="A73" s="4" t="inlineStr">
        <is>
          <t>MD-0251</t>
        </is>
      </c>
      <c r="B73" s="21" t="n">
        <v>45913</v>
      </c>
      <c r="C73" s="4" t="inlineStr">
        <is>
          <t>Centro</t>
        </is>
      </c>
      <c r="D73" s="4" t="n">
        <v>62</v>
      </c>
      <c r="E73" s="4" t="inlineStr">
        <is>
          <t>buen estado</t>
        </is>
      </c>
      <c r="F73" s="22" t="n">
        <v>513000</v>
      </c>
      <c r="G73" s="23" t="n">
        <v>8274.190000000001</v>
      </c>
      <c r="H73" s="22" t="n"/>
      <c r="I73" s="23" t="n"/>
      <c r="J73" s="18" t="n"/>
      <c r="K73" s="24" t="n"/>
      <c r="L73" s="4" t="n">
        <v>1</v>
      </c>
      <c r="M73" s="4" t="inlineStr">
        <is>
          <t>sin muestra</t>
        </is>
      </c>
      <c r="N73" s="4" t="inlineStr">
        <is>
          <t>no valorable</t>
        </is>
      </c>
      <c r="O73" s="4" t="inlineStr">
        <is>
          <t>ventana inicial sin histórico</t>
        </is>
      </c>
    </row>
    <row r="74">
      <c r="A74" s="4" t="inlineStr">
        <is>
          <t>MD-1967</t>
        </is>
      </c>
      <c r="B74" s="21" t="n">
        <v>45913</v>
      </c>
      <c r="C74" s="4" t="inlineStr">
        <is>
          <t>Arganzuela</t>
        </is>
      </c>
      <c r="D74" s="4" t="n">
        <v>61</v>
      </c>
      <c r="E74" s="4" t="inlineStr">
        <is>
          <t>buen estado</t>
        </is>
      </c>
      <c r="F74" s="22" t="n">
        <v>421000</v>
      </c>
      <c r="G74" s="23" t="n">
        <v>6901.64</v>
      </c>
      <c r="H74" s="22" t="n"/>
      <c r="I74" s="23" t="n"/>
      <c r="J74" s="18" t="n"/>
      <c r="K74" s="24" t="n"/>
      <c r="L74" s="4" t="n">
        <v>0</v>
      </c>
      <c r="M74" s="4" t="inlineStr">
        <is>
          <t>sin muestra</t>
        </is>
      </c>
      <c r="N74" s="4" t="inlineStr">
        <is>
          <t>no valorable</t>
        </is>
      </c>
      <c r="O74" s="4" t="inlineStr">
        <is>
          <t>ventana inicial sin histórico</t>
        </is>
      </c>
    </row>
    <row r="75">
      <c r="A75" s="4" t="inlineStr">
        <is>
          <t>MD-1749</t>
        </is>
      </c>
      <c r="B75" s="21" t="n">
        <v>45913</v>
      </c>
      <c r="C75" s="4" t="inlineStr">
        <is>
          <t>Ciudad Lineal</t>
        </is>
      </c>
      <c r="D75" s="4" t="n">
        <v>44</v>
      </c>
      <c r="E75" s="4" t="inlineStr">
        <is>
          <t>obra nueva</t>
        </is>
      </c>
      <c r="F75" s="22" t="n">
        <v>242000</v>
      </c>
      <c r="G75" s="23" t="n">
        <v>5500</v>
      </c>
      <c r="H75" s="22" t="n"/>
      <c r="I75" s="23" t="n"/>
      <c r="J75" s="18" t="n"/>
      <c r="K75" s="24" t="n"/>
      <c r="L75" s="4" t="n">
        <v>0</v>
      </c>
      <c r="M75" s="4" t="inlineStr">
        <is>
          <t>sin muestra</t>
        </is>
      </c>
      <c r="N75" s="4" t="inlineStr">
        <is>
          <t>no valorable</t>
        </is>
      </c>
      <c r="O75" s="4" t="inlineStr">
        <is>
          <t>ventana inicial sin histórico</t>
        </is>
      </c>
    </row>
    <row r="76">
      <c r="A76" s="4" t="inlineStr">
        <is>
          <t>MD-0419</t>
        </is>
      </c>
      <c r="B76" s="21" t="n">
        <v>45913</v>
      </c>
      <c r="C76" s="4" t="inlineStr">
        <is>
          <t>Fuencarral-El Pardo</t>
        </is>
      </c>
      <c r="D76" s="4" t="n">
        <v>94</v>
      </c>
      <c r="E76" s="4" t="inlineStr">
        <is>
          <t>reformado</t>
        </is>
      </c>
      <c r="F76" s="22" t="n">
        <v>646000</v>
      </c>
      <c r="G76" s="23" t="n">
        <v>6872.34</v>
      </c>
      <c r="H76" s="22" t="n"/>
      <c r="I76" s="23" t="n"/>
      <c r="J76" s="18" t="n"/>
      <c r="K76" s="24" t="n"/>
      <c r="L76" s="4" t="n">
        <v>2</v>
      </c>
      <c r="M76" s="4" t="inlineStr">
        <is>
          <t>sin muestra</t>
        </is>
      </c>
      <c r="N76" s="4" t="inlineStr">
        <is>
          <t>no valorable</t>
        </is>
      </c>
      <c r="O76" s="4" t="inlineStr">
        <is>
          <t>ventana inicial sin histórico</t>
        </is>
      </c>
    </row>
    <row r="77">
      <c r="A77" s="4" t="inlineStr">
        <is>
          <t>MD-1539</t>
        </is>
      </c>
      <c r="B77" s="21" t="n">
        <v>45913</v>
      </c>
      <c r="C77" s="4" t="inlineStr">
        <is>
          <t>Ciudad Lineal</t>
        </is>
      </c>
      <c r="D77" s="4" t="n">
        <v>163</v>
      </c>
      <c r="E77" s="4" t="inlineStr">
        <is>
          <t>reformado</t>
        </is>
      </c>
      <c r="F77" s="22" t="n">
        <v>821000</v>
      </c>
      <c r="G77" s="23" t="n">
        <v>5036.81</v>
      </c>
      <c r="H77" s="22" t="n"/>
      <c r="I77" s="23" t="n"/>
      <c r="J77" s="18" t="n"/>
      <c r="K77" s="24" t="n"/>
      <c r="L77" s="4" t="n">
        <v>0</v>
      </c>
      <c r="M77" s="4" t="inlineStr">
        <is>
          <t>sin muestra</t>
        </is>
      </c>
      <c r="N77" s="4" t="inlineStr">
        <is>
          <t>no valorable</t>
        </is>
      </c>
      <c r="O77" s="4" t="inlineStr">
        <is>
          <t>ventana inicial sin histórico</t>
        </is>
      </c>
    </row>
    <row r="78">
      <c r="A78" s="4" t="inlineStr">
        <is>
          <t>MD-0692</t>
        </is>
      </c>
      <c r="B78" s="21" t="n">
        <v>45913</v>
      </c>
      <c r="C78" s="4" t="inlineStr">
        <is>
          <t>Carabanchel</t>
        </is>
      </c>
      <c r="D78" s="4" t="n">
        <v>158</v>
      </c>
      <c r="E78" s="4" t="inlineStr">
        <is>
          <t>a reformar</t>
        </is>
      </c>
      <c r="F78" s="22" t="n">
        <v>455000</v>
      </c>
      <c r="G78" s="23" t="n">
        <v>2879.75</v>
      </c>
      <c r="H78" s="22" t="n"/>
      <c r="I78" s="23" t="n"/>
      <c r="J78" s="18" t="n"/>
      <c r="K78" s="24" t="n"/>
      <c r="L78" s="4" t="n">
        <v>0</v>
      </c>
      <c r="M78" s="4" t="inlineStr">
        <is>
          <t>sin muestra</t>
        </is>
      </c>
      <c r="N78" s="4" t="inlineStr">
        <is>
          <t>no valorable</t>
        </is>
      </c>
      <c r="O78" s="4" t="inlineStr">
        <is>
          <t>ventana inicial sin histórico</t>
        </is>
      </c>
    </row>
    <row r="79">
      <c r="A79" s="4" t="inlineStr">
        <is>
          <t>MD-0644</t>
        </is>
      </c>
      <c r="B79" s="21" t="n">
        <v>45914</v>
      </c>
      <c r="C79" s="4" t="inlineStr">
        <is>
          <t>Ciudad Lineal</t>
        </is>
      </c>
      <c r="D79" s="4" t="n">
        <v>65</v>
      </c>
      <c r="E79" s="4" t="inlineStr">
        <is>
          <t>buen estado</t>
        </is>
      </c>
      <c r="F79" s="22" t="n">
        <v>289000</v>
      </c>
      <c r="G79" s="23" t="n">
        <v>4446.15</v>
      </c>
      <c r="H79" s="22" t="n"/>
      <c r="I79" s="23" t="n"/>
      <c r="J79" s="18" t="n"/>
      <c r="K79" s="24" t="n"/>
      <c r="L79" s="4" t="n">
        <v>1</v>
      </c>
      <c r="M79" s="4" t="inlineStr">
        <is>
          <t>sin muestra</t>
        </is>
      </c>
      <c r="N79" s="4" t="inlineStr">
        <is>
          <t>no valorable</t>
        </is>
      </c>
      <c r="O79" s="4" t="inlineStr">
        <is>
          <t>ventana inicial sin histórico</t>
        </is>
      </c>
    </row>
    <row r="80">
      <c r="A80" s="4" t="inlineStr">
        <is>
          <t>MD-1654</t>
        </is>
      </c>
      <c r="B80" s="21" t="n">
        <v>45914</v>
      </c>
      <c r="C80" s="4" t="inlineStr">
        <is>
          <t>Fuencarral-El Pardo</t>
        </is>
      </c>
      <c r="D80" s="4" t="n">
        <v>42</v>
      </c>
      <c r="E80" s="4" t="inlineStr">
        <is>
          <t>buen estado</t>
        </is>
      </c>
      <c r="F80" s="22" t="n">
        <v>201000</v>
      </c>
      <c r="G80" s="23" t="n">
        <v>4785.71</v>
      </c>
      <c r="H80" s="22" t="n"/>
      <c r="I80" s="23" t="n"/>
      <c r="J80" s="18" t="n"/>
      <c r="K80" s="24" t="n"/>
      <c r="L80" s="4" t="n">
        <v>1</v>
      </c>
      <c r="M80" s="4" t="inlineStr">
        <is>
          <t>sin muestra</t>
        </is>
      </c>
      <c r="N80" s="4" t="inlineStr">
        <is>
          <t>no valorable</t>
        </is>
      </c>
      <c r="O80" s="4" t="inlineStr">
        <is>
          <t>ventana inicial sin histórico</t>
        </is>
      </c>
    </row>
    <row r="81">
      <c r="A81" s="4" t="inlineStr">
        <is>
          <t>MD-1442</t>
        </is>
      </c>
      <c r="B81" s="21" t="n">
        <v>45914</v>
      </c>
      <c r="C81" s="4" t="inlineStr">
        <is>
          <t>Carabanchel</t>
        </is>
      </c>
      <c r="D81" s="4" t="n">
        <v>61</v>
      </c>
      <c r="E81" s="4" t="inlineStr">
        <is>
          <t>reformado</t>
        </is>
      </c>
      <c r="F81" s="22" t="n">
        <v>189000</v>
      </c>
      <c r="G81" s="23" t="n">
        <v>3098.36</v>
      </c>
      <c r="H81" s="22" t="n"/>
      <c r="I81" s="23" t="n"/>
      <c r="J81" s="18" t="n"/>
      <c r="K81" s="24" t="n"/>
      <c r="L81" s="4" t="n">
        <v>0</v>
      </c>
      <c r="M81" s="4" t="inlineStr">
        <is>
          <t>sin muestra</t>
        </is>
      </c>
      <c r="N81" s="4" t="inlineStr">
        <is>
          <t>no valorable</t>
        </is>
      </c>
      <c r="O81" s="4" t="inlineStr">
        <is>
          <t>ventana inicial sin histórico</t>
        </is>
      </c>
    </row>
    <row r="82">
      <c r="A82" s="4" t="inlineStr">
        <is>
          <t>MD-0376</t>
        </is>
      </c>
      <c r="B82" s="21" t="n">
        <v>45915</v>
      </c>
      <c r="C82" s="4" t="inlineStr">
        <is>
          <t>Retiro</t>
        </is>
      </c>
      <c r="D82" s="4" t="n">
        <v>45</v>
      </c>
      <c r="E82" s="4" t="inlineStr">
        <is>
          <t>reformado</t>
        </is>
      </c>
      <c r="F82" s="22" t="n">
        <v>313000</v>
      </c>
      <c r="G82" s="23" t="n">
        <v>6955.56</v>
      </c>
      <c r="H82" s="22" t="n"/>
      <c r="I82" s="23" t="n"/>
      <c r="J82" s="18" t="n"/>
      <c r="K82" s="24" t="n"/>
      <c r="L82" s="4" t="n">
        <v>0</v>
      </c>
      <c r="M82" s="4" t="inlineStr">
        <is>
          <t>sin muestra</t>
        </is>
      </c>
      <c r="N82" s="4" t="inlineStr">
        <is>
          <t>no valorable</t>
        </is>
      </c>
      <c r="O82" s="4" t="inlineStr">
        <is>
          <t>ventana inicial sin histórico</t>
        </is>
      </c>
    </row>
    <row r="83">
      <c r="A83" s="4" t="inlineStr">
        <is>
          <t>MD-1754</t>
        </is>
      </c>
      <c r="B83" s="21" t="n">
        <v>45915</v>
      </c>
      <c r="C83" s="4" t="inlineStr">
        <is>
          <t>Salamanca</t>
        </is>
      </c>
      <c r="D83" s="4" t="n">
        <v>145</v>
      </c>
      <c r="E83" s="4" t="inlineStr">
        <is>
          <t>buen estado</t>
        </is>
      </c>
      <c r="F83" s="22" t="n">
        <v>1597000</v>
      </c>
      <c r="G83" s="23" t="n">
        <v>11013.79</v>
      </c>
      <c r="H83" s="22" t="n"/>
      <c r="I83" s="23" t="n"/>
      <c r="J83" s="18" t="n"/>
      <c r="K83" s="24" t="n"/>
      <c r="L83" s="4" t="n">
        <v>0</v>
      </c>
      <c r="M83" s="4" t="inlineStr">
        <is>
          <t>sin muestra</t>
        </is>
      </c>
      <c r="N83" s="4" t="inlineStr">
        <is>
          <t>no valorable</t>
        </is>
      </c>
      <c r="O83" s="4" t="inlineStr">
        <is>
          <t>ventana inicial sin histórico</t>
        </is>
      </c>
    </row>
    <row r="84">
      <c r="A84" s="4" t="inlineStr">
        <is>
          <t>MD-1014</t>
        </is>
      </c>
      <c r="B84" s="21" t="n">
        <v>45915</v>
      </c>
      <c r="C84" s="4" t="inlineStr">
        <is>
          <t>Chamberi</t>
        </is>
      </c>
      <c r="D84" s="4" t="n">
        <v>63</v>
      </c>
      <c r="E84" s="4" t="inlineStr">
        <is>
          <t>buen estado</t>
        </is>
      </c>
      <c r="F84" s="22" t="n">
        <v>530000</v>
      </c>
      <c r="G84" s="23" t="n">
        <v>8412.700000000001</v>
      </c>
      <c r="H84" s="22" t="n"/>
      <c r="I84" s="23" t="n"/>
      <c r="J84" s="18" t="n"/>
      <c r="K84" s="24" t="n"/>
      <c r="L84" s="4" t="n">
        <v>1</v>
      </c>
      <c r="M84" s="4" t="inlineStr">
        <is>
          <t>sin muestra</t>
        </is>
      </c>
      <c r="N84" s="4" t="inlineStr">
        <is>
          <t>no valorable</t>
        </is>
      </c>
      <c r="O84" s="4" t="inlineStr">
        <is>
          <t>ventana inicial sin histórico</t>
        </is>
      </c>
    </row>
    <row r="85">
      <c r="A85" s="4" t="inlineStr">
        <is>
          <t>MD-1626</t>
        </is>
      </c>
      <c r="B85" s="21" t="n">
        <v>45915</v>
      </c>
      <c r="C85" s="4" t="inlineStr">
        <is>
          <t>Hortaleza</t>
        </is>
      </c>
      <c r="D85" s="4" t="n">
        <v>97</v>
      </c>
      <c r="E85" s="4" t="inlineStr">
        <is>
          <t>reformado</t>
        </is>
      </c>
      <c r="F85" s="22" t="n">
        <v>492000</v>
      </c>
      <c r="G85" s="23" t="n">
        <v>5072.16</v>
      </c>
      <c r="H85" s="22" t="n"/>
      <c r="I85" s="23" t="n"/>
      <c r="J85" s="18" t="n"/>
      <c r="K85" s="24" t="n"/>
      <c r="L85" s="4" t="n">
        <v>3</v>
      </c>
      <c r="M85" s="4" t="inlineStr">
        <is>
          <t>sin muestra</t>
        </is>
      </c>
      <c r="N85" s="4" t="inlineStr">
        <is>
          <t>no valorable</t>
        </is>
      </c>
      <c r="O85" s="4" t="inlineStr">
        <is>
          <t>ventana inicial sin histórico</t>
        </is>
      </c>
    </row>
    <row r="86">
      <c r="A86" s="4" t="inlineStr">
        <is>
          <t>MD-0785</t>
        </is>
      </c>
      <c r="B86" s="21" t="n">
        <v>45915</v>
      </c>
      <c r="C86" s="4" t="inlineStr">
        <is>
          <t>Latina</t>
        </is>
      </c>
      <c r="D86" s="4" t="n">
        <v>80</v>
      </c>
      <c r="E86" s="4" t="inlineStr">
        <is>
          <t>reformado</t>
        </is>
      </c>
      <c r="F86" s="22" t="n">
        <v>239000</v>
      </c>
      <c r="G86" s="23" t="n">
        <v>2987.5</v>
      </c>
      <c r="H86" s="22" t="n"/>
      <c r="I86" s="23" t="n"/>
      <c r="J86" s="18" t="n"/>
      <c r="K86" s="24" t="n"/>
      <c r="L86" s="4" t="n">
        <v>2</v>
      </c>
      <c r="M86" s="4" t="inlineStr">
        <is>
          <t>sin muestra</t>
        </is>
      </c>
      <c r="N86" s="4" t="inlineStr">
        <is>
          <t>no valorable</t>
        </is>
      </c>
      <c r="O86" s="4" t="inlineStr">
        <is>
          <t>ventana inicial sin histórico</t>
        </is>
      </c>
    </row>
    <row r="87">
      <c r="A87" s="4" t="inlineStr">
        <is>
          <t>MD-0504</t>
        </is>
      </c>
      <c r="B87" s="21" t="n">
        <v>45916</v>
      </c>
      <c r="C87" s="4" t="inlineStr">
        <is>
          <t>Chamartin</t>
        </is>
      </c>
      <c r="D87" s="4" t="n">
        <v>57</v>
      </c>
      <c r="E87" s="4" t="inlineStr">
        <is>
          <t>buen estado</t>
        </is>
      </c>
      <c r="F87" s="22" t="n">
        <v>464000</v>
      </c>
      <c r="G87" s="23" t="n">
        <v>8140.35</v>
      </c>
      <c r="H87" s="22" t="n"/>
      <c r="I87" s="23" t="n"/>
      <c r="J87" s="18" t="n"/>
      <c r="K87" s="24" t="n"/>
      <c r="L87" s="4" t="n">
        <v>2</v>
      </c>
      <c r="M87" s="4" t="inlineStr">
        <is>
          <t>sin muestra</t>
        </is>
      </c>
      <c r="N87" s="4" t="inlineStr">
        <is>
          <t>no valorable</t>
        </is>
      </c>
      <c r="O87" s="4" t="inlineStr">
        <is>
          <t>ventana inicial sin histórico</t>
        </is>
      </c>
    </row>
    <row r="88">
      <c r="A88" s="4" t="inlineStr">
        <is>
          <t>MD-0706</t>
        </is>
      </c>
      <c r="B88" s="21" t="n">
        <v>45916</v>
      </c>
      <c r="C88" s="4" t="inlineStr">
        <is>
          <t>Latina</t>
        </is>
      </c>
      <c r="D88" s="4" t="n">
        <v>188</v>
      </c>
      <c r="E88" s="4" t="inlineStr">
        <is>
          <t>reformado</t>
        </is>
      </c>
      <c r="F88" s="22" t="n">
        <v>608000</v>
      </c>
      <c r="G88" s="23" t="n">
        <v>3234.04</v>
      </c>
      <c r="H88" s="22" t="n"/>
      <c r="I88" s="23" t="n"/>
      <c r="J88" s="18" t="n"/>
      <c r="K88" s="24" t="n"/>
      <c r="L88" s="4" t="n">
        <v>0</v>
      </c>
      <c r="M88" s="4" t="inlineStr">
        <is>
          <t>sin muestra</t>
        </is>
      </c>
      <c r="N88" s="4" t="inlineStr">
        <is>
          <t>no valorable</t>
        </is>
      </c>
      <c r="O88" s="4" t="inlineStr">
        <is>
          <t>ventana inicial sin histórico</t>
        </is>
      </c>
    </row>
    <row r="89">
      <c r="A89" s="4" t="inlineStr">
        <is>
          <t>MD-1491</t>
        </is>
      </c>
      <c r="B89" s="21" t="n">
        <v>45916</v>
      </c>
      <c r="C89" s="4" t="inlineStr">
        <is>
          <t>Fuencarral-El Pardo</t>
        </is>
      </c>
      <c r="D89" s="4" t="n">
        <v>44</v>
      </c>
      <c r="E89" s="4" t="inlineStr">
        <is>
          <t>buen estado</t>
        </is>
      </c>
      <c r="F89" s="22" t="n">
        <v>268000</v>
      </c>
      <c r="G89" s="23" t="n">
        <v>6090.91</v>
      </c>
      <c r="H89" s="22" t="n"/>
      <c r="I89" s="23" t="n"/>
      <c r="J89" s="18" t="n"/>
      <c r="K89" s="24" t="n"/>
      <c r="L89" s="4" t="n">
        <v>2</v>
      </c>
      <c r="M89" s="4" t="inlineStr">
        <is>
          <t>sin muestra</t>
        </is>
      </c>
      <c r="N89" s="4" t="inlineStr">
        <is>
          <t>no valorable</t>
        </is>
      </c>
      <c r="O89" s="4" t="inlineStr">
        <is>
          <t>ventana inicial sin histórico</t>
        </is>
      </c>
    </row>
    <row r="90">
      <c r="A90" s="4" t="inlineStr">
        <is>
          <t>MD-0659</t>
        </is>
      </c>
      <c r="B90" s="21" t="n">
        <v>45916</v>
      </c>
      <c r="C90" s="4" t="inlineStr">
        <is>
          <t>Tetuan</t>
        </is>
      </c>
      <c r="D90" s="4" t="n">
        <v>130</v>
      </c>
      <c r="E90" s="4" t="inlineStr">
        <is>
          <t>a reformar</t>
        </is>
      </c>
      <c r="F90" s="22" t="n">
        <v>512000</v>
      </c>
      <c r="G90" s="23" t="n">
        <v>3938.46</v>
      </c>
      <c r="H90" s="22" t="n"/>
      <c r="I90" s="23" t="n"/>
      <c r="J90" s="18" t="n"/>
      <c r="K90" s="24" t="n"/>
      <c r="L90" s="4" t="n">
        <v>0</v>
      </c>
      <c r="M90" s="4" t="inlineStr">
        <is>
          <t>sin muestra</t>
        </is>
      </c>
      <c r="N90" s="4" t="inlineStr">
        <is>
          <t>no valorable</t>
        </is>
      </c>
      <c r="O90" s="4" t="inlineStr">
        <is>
          <t>ventana inicial sin histórico</t>
        </is>
      </c>
    </row>
    <row r="91">
      <c r="A91" s="4" t="inlineStr">
        <is>
          <t>MD-0420</t>
        </is>
      </c>
      <c r="B91" s="21" t="n">
        <v>45917</v>
      </c>
      <c r="C91" s="4" t="inlineStr">
        <is>
          <t>Puente de Vallecas</t>
        </is>
      </c>
      <c r="D91" s="4" t="n">
        <v>78</v>
      </c>
      <c r="E91" s="4" t="inlineStr">
        <is>
          <t>buen estado</t>
        </is>
      </c>
      <c r="F91" s="22" t="n">
        <v>264000</v>
      </c>
      <c r="G91" s="23" t="n">
        <v>3384.62</v>
      </c>
      <c r="H91" s="22" t="n"/>
      <c r="I91" s="23" t="n"/>
      <c r="J91" s="18" t="n"/>
      <c r="K91" s="24" t="n"/>
      <c r="L91" s="4" t="n">
        <v>3</v>
      </c>
      <c r="M91" s="4" t="inlineStr">
        <is>
          <t>sin muestra</t>
        </is>
      </c>
      <c r="N91" s="4" t="inlineStr">
        <is>
          <t>no valorable</t>
        </is>
      </c>
      <c r="O91" s="4" t="inlineStr">
        <is>
          <t>ventana inicial sin histórico</t>
        </is>
      </c>
    </row>
    <row r="92">
      <c r="A92" s="4" t="inlineStr">
        <is>
          <t>MD-1090</t>
        </is>
      </c>
      <c r="B92" s="21" t="n">
        <v>45917</v>
      </c>
      <c r="C92" s="4" t="inlineStr">
        <is>
          <t>Hortaleza</t>
        </is>
      </c>
      <c r="D92" s="4" t="n">
        <v>171</v>
      </c>
      <c r="E92" s="4" t="inlineStr">
        <is>
          <t>buen estado</t>
        </is>
      </c>
      <c r="F92" s="22" t="n">
        <v>725000</v>
      </c>
      <c r="G92" s="23" t="n">
        <v>4239.77</v>
      </c>
      <c r="H92" s="22" t="n"/>
      <c r="I92" s="23" t="n"/>
      <c r="J92" s="18" t="n"/>
      <c r="K92" s="24" t="n"/>
      <c r="L92" s="4" t="n">
        <v>1</v>
      </c>
      <c r="M92" s="4" t="inlineStr">
        <is>
          <t>sin muestra</t>
        </is>
      </c>
      <c r="N92" s="4" t="inlineStr">
        <is>
          <t>no valorable</t>
        </is>
      </c>
      <c r="O92" s="4" t="inlineStr">
        <is>
          <t>ventana inicial sin histórico</t>
        </is>
      </c>
    </row>
    <row r="93">
      <c r="A93" s="4" t="inlineStr">
        <is>
          <t>MD-0600</t>
        </is>
      </c>
      <c r="B93" s="21" t="n">
        <v>45917</v>
      </c>
      <c r="C93" s="4" t="inlineStr">
        <is>
          <t>Carabanchel</t>
        </is>
      </c>
      <c r="D93" s="4" t="n">
        <v>69</v>
      </c>
      <c r="E93" s="4" t="inlineStr">
        <is>
          <t>a reformar</t>
        </is>
      </c>
      <c r="F93" s="22" t="n">
        <v>214000</v>
      </c>
      <c r="G93" s="23" t="n">
        <v>3101.45</v>
      </c>
      <c r="H93" s="22" t="n"/>
      <c r="I93" s="23" t="n"/>
      <c r="J93" s="18" t="n"/>
      <c r="K93" s="24" t="n"/>
      <c r="L93" s="4" t="n">
        <v>1</v>
      </c>
      <c r="M93" s="4" t="inlineStr">
        <is>
          <t>sin muestra</t>
        </is>
      </c>
      <c r="N93" s="4" t="inlineStr">
        <is>
          <t>no valorable</t>
        </is>
      </c>
      <c r="O93" s="4" t="inlineStr">
        <is>
          <t>ventana inicial sin histórico</t>
        </is>
      </c>
    </row>
    <row r="94">
      <c r="A94" s="4" t="inlineStr">
        <is>
          <t>MD-1349</t>
        </is>
      </c>
      <c r="B94" s="21" t="n">
        <v>45917</v>
      </c>
      <c r="C94" s="4" t="inlineStr">
        <is>
          <t>Carabanchel</t>
        </is>
      </c>
      <c r="D94" s="4" t="n">
        <v>99</v>
      </c>
      <c r="E94" s="4" t="inlineStr">
        <is>
          <t>a reformar</t>
        </is>
      </c>
      <c r="F94" s="22" t="n">
        <v>293000</v>
      </c>
      <c r="G94" s="23" t="n">
        <v>2959.6</v>
      </c>
      <c r="H94" s="22" t="n"/>
      <c r="I94" s="23" t="n"/>
      <c r="J94" s="18" t="n"/>
      <c r="K94" s="24" t="n"/>
      <c r="L94" s="4" t="n">
        <v>3</v>
      </c>
      <c r="M94" s="4" t="inlineStr">
        <is>
          <t>sin muestra</t>
        </is>
      </c>
      <c r="N94" s="4" t="inlineStr">
        <is>
          <t>no valorable</t>
        </is>
      </c>
      <c r="O94" s="4" t="inlineStr">
        <is>
          <t>ventana inicial sin histórico</t>
        </is>
      </c>
    </row>
    <row r="95">
      <c r="A95" s="4" t="inlineStr">
        <is>
          <t>MD-0116</t>
        </is>
      </c>
      <c r="B95" s="21" t="n">
        <v>45918</v>
      </c>
      <c r="C95" s="4" t="inlineStr">
        <is>
          <t>San Blas-Canillejas</t>
        </is>
      </c>
      <c r="D95" s="4" t="n">
        <v>61</v>
      </c>
      <c r="E95" s="4" t="inlineStr">
        <is>
          <t>a reformar</t>
        </is>
      </c>
      <c r="F95" s="22" t="n">
        <v>233000</v>
      </c>
      <c r="G95" s="23" t="n">
        <v>3819.67</v>
      </c>
      <c r="H95" s="22" t="n"/>
      <c r="I95" s="23" t="n"/>
      <c r="J95" s="18" t="n"/>
      <c r="K95" s="24" t="n"/>
      <c r="L95" s="4" t="n">
        <v>2</v>
      </c>
      <c r="M95" s="4" t="inlineStr">
        <is>
          <t>sin muestra</t>
        </is>
      </c>
      <c r="N95" s="4" t="inlineStr">
        <is>
          <t>no valorable</t>
        </is>
      </c>
      <c r="O95" s="4" t="inlineStr">
        <is>
          <t>ventana inicial sin histórico</t>
        </is>
      </c>
    </row>
    <row r="96">
      <c r="A96" s="4" t="inlineStr">
        <is>
          <t>MD-1873</t>
        </is>
      </c>
      <c r="B96" s="21" t="n">
        <v>45918</v>
      </c>
      <c r="C96" s="4" t="inlineStr">
        <is>
          <t>Hortaleza</t>
        </is>
      </c>
      <c r="D96" s="4" t="n">
        <v>92</v>
      </c>
      <c r="E96" s="4" t="inlineStr">
        <is>
          <t>reformado</t>
        </is>
      </c>
      <c r="F96" s="22" t="n">
        <v>584000</v>
      </c>
      <c r="G96" s="23" t="n">
        <v>6347.83</v>
      </c>
      <c r="H96" s="22" t="n"/>
      <c r="I96" s="23" t="n"/>
      <c r="J96" s="18" t="n"/>
      <c r="K96" s="24" t="n"/>
      <c r="L96" s="4" t="n">
        <v>4</v>
      </c>
      <c r="M96" s="4" t="inlineStr">
        <is>
          <t>sin muestra</t>
        </is>
      </c>
      <c r="N96" s="4" t="inlineStr">
        <is>
          <t>no valorable</t>
        </is>
      </c>
      <c r="O96" s="4" t="inlineStr">
        <is>
          <t>ventana inicial sin histórico</t>
        </is>
      </c>
    </row>
    <row r="97">
      <c r="A97" s="4" t="inlineStr">
        <is>
          <t>MD-1400</t>
        </is>
      </c>
      <c r="B97" s="21" t="n">
        <v>45918</v>
      </c>
      <c r="C97" s="4" t="inlineStr">
        <is>
          <t>Chamberi</t>
        </is>
      </c>
      <c r="D97" s="4" t="n">
        <v>63</v>
      </c>
      <c r="E97" s="4" t="inlineStr">
        <is>
          <t>reformado</t>
        </is>
      </c>
      <c r="F97" s="22" t="n">
        <v>603000</v>
      </c>
      <c r="G97" s="23" t="n">
        <v>9571.43</v>
      </c>
      <c r="H97" s="22" t="n"/>
      <c r="I97" s="23" t="n"/>
      <c r="J97" s="18" t="n"/>
      <c r="K97" s="24" t="n"/>
      <c r="L97" s="4" t="n">
        <v>2</v>
      </c>
      <c r="M97" s="4" t="inlineStr">
        <is>
          <t>sin muestra</t>
        </is>
      </c>
      <c r="N97" s="4" t="inlineStr">
        <is>
          <t>no valorable</t>
        </is>
      </c>
      <c r="O97" s="4" t="inlineStr">
        <is>
          <t>ventana inicial sin histórico</t>
        </is>
      </c>
    </row>
    <row r="98">
      <c r="A98" s="4" t="inlineStr">
        <is>
          <t>MD-1185</t>
        </is>
      </c>
      <c r="B98" s="21" t="n">
        <v>45918</v>
      </c>
      <c r="C98" s="4" t="inlineStr">
        <is>
          <t>Latina</t>
        </is>
      </c>
      <c r="D98" s="4" t="n">
        <v>52</v>
      </c>
      <c r="E98" s="4" t="inlineStr">
        <is>
          <t>buen estado</t>
        </is>
      </c>
      <c r="F98" s="22" t="n">
        <v>188000</v>
      </c>
      <c r="G98" s="23" t="n">
        <v>3615.38</v>
      </c>
      <c r="H98" s="22" t="n"/>
      <c r="I98" s="23" t="n"/>
      <c r="J98" s="18" t="n"/>
      <c r="K98" s="24" t="n"/>
      <c r="L98" s="4" t="n">
        <v>4</v>
      </c>
      <c r="M98" s="4" t="inlineStr">
        <is>
          <t>sin muestra</t>
        </is>
      </c>
      <c r="N98" s="4" t="inlineStr">
        <is>
          <t>no valorable</t>
        </is>
      </c>
      <c r="O98" s="4" t="inlineStr">
        <is>
          <t>ventana inicial sin histórico</t>
        </is>
      </c>
    </row>
    <row r="99">
      <c r="A99" s="4" t="inlineStr">
        <is>
          <t>MD-1878</t>
        </is>
      </c>
      <c r="B99" s="21" t="n">
        <v>45918</v>
      </c>
      <c r="C99" s="4" t="inlineStr">
        <is>
          <t>Centro</t>
        </is>
      </c>
      <c r="D99" s="4" t="n">
        <v>96</v>
      </c>
      <c r="E99" s="4" t="inlineStr">
        <is>
          <t>a reformar</t>
        </is>
      </c>
      <c r="F99" s="22" t="n">
        <v>499000</v>
      </c>
      <c r="G99" s="23" t="n">
        <v>5197.92</v>
      </c>
      <c r="H99" s="22" t="n"/>
      <c r="I99" s="23" t="n"/>
      <c r="J99" s="18" t="n"/>
      <c r="K99" s="24" t="n"/>
      <c r="L99" s="4" t="n">
        <v>0</v>
      </c>
      <c r="M99" s="4" t="inlineStr">
        <is>
          <t>sin muestra</t>
        </is>
      </c>
      <c r="N99" s="4" t="inlineStr">
        <is>
          <t>no valorable</t>
        </is>
      </c>
      <c r="O99" s="4" t="inlineStr">
        <is>
          <t>ventana inicial sin histórico</t>
        </is>
      </c>
    </row>
    <row r="100">
      <c r="A100" s="4" t="inlineStr">
        <is>
          <t>MD-1773</t>
        </is>
      </c>
      <c r="B100" s="21" t="n">
        <v>45918</v>
      </c>
      <c r="C100" s="4" t="inlineStr">
        <is>
          <t>Retiro</t>
        </is>
      </c>
      <c r="D100" s="4" t="n">
        <v>38</v>
      </c>
      <c r="E100" s="4" t="inlineStr">
        <is>
          <t>buen estado</t>
        </is>
      </c>
      <c r="F100" s="22" t="n">
        <v>280000</v>
      </c>
      <c r="G100" s="23" t="n">
        <v>7368.42</v>
      </c>
      <c r="H100" s="22" t="n"/>
      <c r="I100" s="23" t="n"/>
      <c r="J100" s="18" t="n"/>
      <c r="K100" s="24" t="n"/>
      <c r="L100" s="4" t="n">
        <v>1</v>
      </c>
      <c r="M100" s="4" t="inlineStr">
        <is>
          <t>sin muestra</t>
        </is>
      </c>
      <c r="N100" s="4" t="inlineStr">
        <is>
          <t>no valorable</t>
        </is>
      </c>
      <c r="O100" s="4" t="inlineStr">
        <is>
          <t>ventana inicial sin histórico</t>
        </is>
      </c>
    </row>
    <row r="101">
      <c r="A101" s="4" t="inlineStr">
        <is>
          <t>MD-0144</t>
        </is>
      </c>
      <c r="B101" s="21" t="n">
        <v>45918</v>
      </c>
      <c r="C101" s="4" t="inlineStr">
        <is>
          <t>Retiro</t>
        </is>
      </c>
      <c r="D101" s="4" t="n">
        <v>43</v>
      </c>
      <c r="E101" s="4" t="inlineStr">
        <is>
          <t>buen estado</t>
        </is>
      </c>
      <c r="F101" s="22" t="n">
        <v>299000</v>
      </c>
      <c r="G101" s="23" t="n">
        <v>6953.49</v>
      </c>
      <c r="H101" s="22" t="n"/>
      <c r="I101" s="23" t="n"/>
      <c r="J101" s="18" t="n"/>
      <c r="K101" s="24" t="n"/>
      <c r="L101" s="4" t="n">
        <v>1</v>
      </c>
      <c r="M101" s="4" t="inlineStr">
        <is>
          <t>sin muestra</t>
        </is>
      </c>
      <c r="N101" s="4" t="inlineStr">
        <is>
          <t>no valorable</t>
        </is>
      </c>
      <c r="O101" s="4" t="inlineStr">
        <is>
          <t>ventana inicial sin histórico</t>
        </is>
      </c>
    </row>
    <row r="102">
      <c r="A102" s="4" t="inlineStr">
        <is>
          <t>MD-1816</t>
        </is>
      </c>
      <c r="B102" s="21" t="n">
        <v>45918</v>
      </c>
      <c r="C102" s="4" t="inlineStr">
        <is>
          <t>Chamartin</t>
        </is>
      </c>
      <c r="D102" s="4" t="n">
        <v>88</v>
      </c>
      <c r="E102" s="4" t="inlineStr">
        <is>
          <t>reformado</t>
        </is>
      </c>
      <c r="F102" s="22" t="n">
        <v>847000</v>
      </c>
      <c r="G102" s="23" t="n">
        <v>9625</v>
      </c>
      <c r="H102" s="22" t="n"/>
      <c r="I102" s="23" t="n"/>
      <c r="J102" s="18" t="n"/>
      <c r="K102" s="24" t="n"/>
      <c r="L102" s="4" t="n">
        <v>2</v>
      </c>
      <c r="M102" s="4" t="inlineStr">
        <is>
          <t>sin muestra</t>
        </is>
      </c>
      <c r="N102" s="4" t="inlineStr">
        <is>
          <t>no valorable</t>
        </is>
      </c>
      <c r="O102" s="4" t="inlineStr">
        <is>
          <t>ventana inicial sin histórico</t>
        </is>
      </c>
    </row>
    <row r="103">
      <c r="A103" s="4" t="inlineStr">
        <is>
          <t>MD-0741</t>
        </is>
      </c>
      <c r="B103" s="21" t="n">
        <v>45919</v>
      </c>
      <c r="C103" s="4" t="inlineStr">
        <is>
          <t>Carabanchel</t>
        </is>
      </c>
      <c r="D103" s="4" t="n">
        <v>59</v>
      </c>
      <c r="E103" s="4" t="inlineStr">
        <is>
          <t>buen estado</t>
        </is>
      </c>
      <c r="F103" s="22" t="n">
        <v>183000</v>
      </c>
      <c r="G103" s="23" t="n">
        <v>3101.69</v>
      </c>
      <c r="H103" s="22" t="n"/>
      <c r="I103" s="23" t="n"/>
      <c r="J103" s="18" t="n"/>
      <c r="K103" s="24" t="n"/>
      <c r="L103" s="4" t="n">
        <v>2</v>
      </c>
      <c r="M103" s="4" t="inlineStr">
        <is>
          <t>sin muestra</t>
        </is>
      </c>
      <c r="N103" s="4" t="inlineStr">
        <is>
          <t>no valorable</t>
        </is>
      </c>
      <c r="O103" s="4" t="inlineStr">
        <is>
          <t>ventana inicial sin histórico</t>
        </is>
      </c>
    </row>
    <row r="104">
      <c r="A104" s="4" t="inlineStr">
        <is>
          <t>MD-0923</t>
        </is>
      </c>
      <c r="B104" s="21" t="n">
        <v>45919</v>
      </c>
      <c r="C104" s="4" t="inlineStr">
        <is>
          <t>Puente de Vallecas</t>
        </is>
      </c>
      <c r="D104" s="4" t="n">
        <v>116</v>
      </c>
      <c r="E104" s="4" t="inlineStr">
        <is>
          <t>reformado</t>
        </is>
      </c>
      <c r="F104" s="22" t="n">
        <v>442000</v>
      </c>
      <c r="G104" s="23" t="n">
        <v>3810.34</v>
      </c>
      <c r="H104" s="22" t="n"/>
      <c r="I104" s="23" t="n"/>
      <c r="J104" s="18" t="n"/>
      <c r="K104" s="24" t="n"/>
      <c r="L104" s="4" t="n">
        <v>1</v>
      </c>
      <c r="M104" s="4" t="inlineStr">
        <is>
          <t>sin muestra</t>
        </is>
      </c>
      <c r="N104" s="4" t="inlineStr">
        <is>
          <t>no valorable</t>
        </is>
      </c>
      <c r="O104" s="4" t="inlineStr">
        <is>
          <t>ventana inicial sin histórico</t>
        </is>
      </c>
    </row>
    <row r="105">
      <c r="A105" s="4" t="inlineStr">
        <is>
          <t>MD-0191</t>
        </is>
      </c>
      <c r="B105" s="21" t="n">
        <v>45919</v>
      </c>
      <c r="C105" s="4" t="inlineStr">
        <is>
          <t>Puente de Vallecas</t>
        </is>
      </c>
      <c r="D105" s="4" t="n">
        <v>58</v>
      </c>
      <c r="E105" s="4" t="inlineStr">
        <is>
          <t>a reformar</t>
        </is>
      </c>
      <c r="F105" s="22" t="n">
        <v>151000</v>
      </c>
      <c r="G105" s="23" t="n">
        <v>2603.45</v>
      </c>
      <c r="H105" s="22" t="n"/>
      <c r="I105" s="23" t="n"/>
      <c r="J105" s="18" t="n"/>
      <c r="K105" s="24" t="n"/>
      <c r="L105" s="4" t="n">
        <v>3</v>
      </c>
      <c r="M105" s="4" t="inlineStr">
        <is>
          <t>sin muestra</t>
        </is>
      </c>
      <c r="N105" s="4" t="inlineStr">
        <is>
          <t>no valorable</t>
        </is>
      </c>
      <c r="O105" s="4" t="inlineStr">
        <is>
          <t>ventana inicial sin histórico</t>
        </is>
      </c>
    </row>
    <row r="106">
      <c r="A106" s="4" t="inlineStr">
        <is>
          <t>MD-0153</t>
        </is>
      </c>
      <c r="B106" s="21" t="n">
        <v>45919</v>
      </c>
      <c r="C106" s="4" t="inlineStr">
        <is>
          <t>Vicalvaro</t>
        </is>
      </c>
      <c r="D106" s="4" t="n">
        <v>171</v>
      </c>
      <c r="E106" s="4" t="inlineStr">
        <is>
          <t>a reformar</t>
        </is>
      </c>
      <c r="F106" s="22" t="n">
        <v>541000</v>
      </c>
      <c r="G106" s="23" t="n">
        <v>3163.74</v>
      </c>
      <c r="H106" s="22" t="n"/>
      <c r="I106" s="23" t="n"/>
      <c r="J106" s="18" t="n"/>
      <c r="K106" s="24" t="n"/>
      <c r="L106" s="4" t="n">
        <v>0</v>
      </c>
      <c r="M106" s="4" t="inlineStr">
        <is>
          <t>sin muestra</t>
        </is>
      </c>
      <c r="N106" s="4" t="inlineStr">
        <is>
          <t>no valorable</t>
        </is>
      </c>
      <c r="O106" s="4" t="inlineStr">
        <is>
          <t>ventana inicial sin histórico</t>
        </is>
      </c>
    </row>
    <row r="107">
      <c r="A107" s="4" t="inlineStr">
        <is>
          <t>MD-1994</t>
        </is>
      </c>
      <c r="B107" s="21" t="n">
        <v>45919</v>
      </c>
      <c r="C107" s="4" t="inlineStr">
        <is>
          <t>Latina</t>
        </is>
      </c>
      <c r="D107" s="4" t="n">
        <v>87</v>
      </c>
      <c r="E107" s="4" t="inlineStr">
        <is>
          <t>buen estado</t>
        </is>
      </c>
      <c r="F107" s="22" t="n">
        <v>250000</v>
      </c>
      <c r="G107" s="23" t="n">
        <v>2873.56</v>
      </c>
      <c r="H107" s="22" t="n"/>
      <c r="I107" s="23" t="n"/>
      <c r="J107" s="18" t="n"/>
      <c r="K107" s="24" t="n"/>
      <c r="L107" s="4" t="n">
        <v>2</v>
      </c>
      <c r="M107" s="4" t="inlineStr">
        <is>
          <t>sin muestra</t>
        </is>
      </c>
      <c r="N107" s="4" t="inlineStr">
        <is>
          <t>no valorable</t>
        </is>
      </c>
      <c r="O107" s="4" t="inlineStr">
        <is>
          <t>ventana inicial sin histórico</t>
        </is>
      </c>
    </row>
    <row r="108">
      <c r="A108" s="4" t="inlineStr">
        <is>
          <t>MD-1395</t>
        </is>
      </c>
      <c r="B108" s="21" t="n">
        <v>45919</v>
      </c>
      <c r="C108" s="4" t="inlineStr">
        <is>
          <t>Centro</t>
        </is>
      </c>
      <c r="D108" s="4" t="n">
        <v>33</v>
      </c>
      <c r="E108" s="4" t="inlineStr">
        <is>
          <t>obra nueva</t>
        </is>
      </c>
      <c r="F108" s="22" t="n">
        <v>282000</v>
      </c>
      <c r="G108" s="23" t="n">
        <v>8545.450000000001</v>
      </c>
      <c r="H108" s="22" t="n"/>
      <c r="I108" s="23" t="n"/>
      <c r="J108" s="18" t="n"/>
      <c r="K108" s="24" t="n"/>
      <c r="L108" s="4" t="n">
        <v>1</v>
      </c>
      <c r="M108" s="4" t="inlineStr">
        <is>
          <t>sin muestra</t>
        </is>
      </c>
      <c r="N108" s="4" t="inlineStr">
        <is>
          <t>no valorable</t>
        </is>
      </c>
      <c r="O108" s="4" t="inlineStr">
        <is>
          <t>ventana inicial sin histórico</t>
        </is>
      </c>
    </row>
    <row r="109">
      <c r="A109" s="4" t="inlineStr">
        <is>
          <t>MD-0767</t>
        </is>
      </c>
      <c r="B109" s="21" t="n">
        <v>45919</v>
      </c>
      <c r="C109" s="4" t="inlineStr">
        <is>
          <t>Puente de Vallecas</t>
        </is>
      </c>
      <c r="D109" s="4" t="n">
        <v>53</v>
      </c>
      <c r="E109" s="4" t="inlineStr">
        <is>
          <t>buen estado</t>
        </is>
      </c>
      <c r="F109" s="22" t="n">
        <v>102000</v>
      </c>
      <c r="G109" s="23" t="n">
        <v>1924.53</v>
      </c>
      <c r="H109" s="22" t="n"/>
      <c r="I109" s="23" t="n"/>
      <c r="J109" s="18" t="n"/>
      <c r="K109" s="24" t="n"/>
      <c r="L109" s="4" t="n">
        <v>4</v>
      </c>
      <c r="M109" s="4" t="inlineStr">
        <is>
          <t>sin muestra</t>
        </is>
      </c>
      <c r="N109" s="4" t="inlineStr">
        <is>
          <t>no valorable</t>
        </is>
      </c>
      <c r="O109" s="4" t="inlineStr">
        <is>
          <t>ventana inicial sin histórico</t>
        </is>
      </c>
    </row>
    <row r="110">
      <c r="A110" s="4" t="inlineStr">
        <is>
          <t>MD-1129</t>
        </is>
      </c>
      <c r="B110" s="21" t="n">
        <v>45920</v>
      </c>
      <c r="C110" s="4" t="inlineStr">
        <is>
          <t>Chamartin</t>
        </is>
      </c>
      <c r="D110" s="4" t="n">
        <v>35</v>
      </c>
      <c r="E110" s="4" t="inlineStr">
        <is>
          <t>buen estado</t>
        </is>
      </c>
      <c r="F110" s="22" t="n">
        <v>230000</v>
      </c>
      <c r="G110" s="23" t="n">
        <v>6571.43</v>
      </c>
      <c r="H110" s="22" t="n"/>
      <c r="I110" s="23" t="n"/>
      <c r="J110" s="18" t="n"/>
      <c r="K110" s="24" t="n"/>
      <c r="L110" s="4" t="n">
        <v>0</v>
      </c>
      <c r="M110" s="4" t="inlineStr">
        <is>
          <t>sin muestra</t>
        </is>
      </c>
      <c r="N110" s="4" t="inlineStr">
        <is>
          <t>no valorable</t>
        </is>
      </c>
      <c r="O110" s="4" t="inlineStr">
        <is>
          <t>ventana inicial sin histórico</t>
        </is>
      </c>
    </row>
    <row r="111">
      <c r="A111" s="4" t="inlineStr">
        <is>
          <t>MD-1662</t>
        </is>
      </c>
      <c r="B111" s="21" t="n">
        <v>45920</v>
      </c>
      <c r="C111" s="4" t="inlineStr">
        <is>
          <t>Vicalvaro</t>
        </is>
      </c>
      <c r="D111" s="4" t="n">
        <v>159</v>
      </c>
      <c r="E111" s="4" t="inlineStr">
        <is>
          <t>a reformar</t>
        </is>
      </c>
      <c r="F111" s="22" t="n">
        <v>366000</v>
      </c>
      <c r="G111" s="23" t="n">
        <v>2301.89</v>
      </c>
      <c r="H111" s="22" t="n"/>
      <c r="I111" s="23" t="n"/>
      <c r="J111" s="18" t="n"/>
      <c r="K111" s="24" t="n"/>
      <c r="L111" s="4" t="n">
        <v>1</v>
      </c>
      <c r="M111" s="4" t="inlineStr">
        <is>
          <t>sin muestra</t>
        </is>
      </c>
      <c r="N111" s="4" t="inlineStr">
        <is>
          <t>no valorable</t>
        </is>
      </c>
      <c r="O111" s="4" t="inlineStr">
        <is>
          <t>ventana inicial sin histórico</t>
        </is>
      </c>
    </row>
    <row r="112">
      <c r="A112" s="4" t="inlineStr">
        <is>
          <t>MD-1152</t>
        </is>
      </c>
      <c r="B112" s="21" t="n">
        <v>45920</v>
      </c>
      <c r="C112" s="4" t="inlineStr">
        <is>
          <t>Usera</t>
        </is>
      </c>
      <c r="D112" s="4" t="n">
        <v>61</v>
      </c>
      <c r="E112" s="4" t="inlineStr">
        <is>
          <t>obra nueva</t>
        </is>
      </c>
      <c r="F112" s="22" t="n">
        <v>231000</v>
      </c>
      <c r="G112" s="23" t="n">
        <v>3786.89</v>
      </c>
      <c r="H112" s="22" t="n"/>
      <c r="I112" s="23" t="n"/>
      <c r="J112" s="18" t="n"/>
      <c r="K112" s="24" t="n"/>
      <c r="L112" s="4" t="n">
        <v>3</v>
      </c>
      <c r="M112" s="4" t="inlineStr">
        <is>
          <t>sin muestra</t>
        </is>
      </c>
      <c r="N112" s="4" t="inlineStr">
        <is>
          <t>no valorable</t>
        </is>
      </c>
      <c r="O112" s="4" t="inlineStr">
        <is>
          <t>ventana inicial sin histórico</t>
        </is>
      </c>
    </row>
    <row r="113">
      <c r="A113" s="4" t="inlineStr">
        <is>
          <t>MD-0202</t>
        </is>
      </c>
      <c r="B113" s="21" t="n">
        <v>45920</v>
      </c>
      <c r="C113" s="4" t="inlineStr">
        <is>
          <t>Latina</t>
        </is>
      </c>
      <c r="D113" s="4" t="n">
        <v>67</v>
      </c>
      <c r="E113" s="4" t="inlineStr">
        <is>
          <t>a reformar</t>
        </is>
      </c>
      <c r="F113" s="22" t="n">
        <v>155000</v>
      </c>
      <c r="G113" s="23" t="n">
        <v>2313.43</v>
      </c>
      <c r="H113" s="22" t="n"/>
      <c r="I113" s="23" t="n"/>
      <c r="J113" s="18" t="n"/>
      <c r="K113" s="24" t="n"/>
      <c r="L113" s="4" t="n">
        <v>4</v>
      </c>
      <c r="M113" s="4" t="inlineStr">
        <is>
          <t>sin muestra</t>
        </is>
      </c>
      <c r="N113" s="4" t="inlineStr">
        <is>
          <t>no valorable</t>
        </is>
      </c>
      <c r="O113" s="4" t="inlineStr">
        <is>
          <t>ventana inicial sin histórico</t>
        </is>
      </c>
    </row>
    <row r="114">
      <c r="A114" s="4" t="inlineStr">
        <is>
          <t>MD-0614</t>
        </is>
      </c>
      <c r="B114" s="21" t="n">
        <v>45920</v>
      </c>
      <c r="C114" s="4" t="inlineStr">
        <is>
          <t>Hortaleza</t>
        </is>
      </c>
      <c r="D114" s="4" t="n">
        <v>87</v>
      </c>
      <c r="E114" s="4" t="inlineStr">
        <is>
          <t>buen estado</t>
        </is>
      </c>
      <c r="F114" s="22" t="n">
        <v>457000</v>
      </c>
      <c r="G114" s="23" t="n">
        <v>5252.87</v>
      </c>
      <c r="H114" s="22" t="n"/>
      <c r="I114" s="23" t="n"/>
      <c r="J114" s="18" t="n"/>
      <c r="K114" s="24" t="n"/>
      <c r="L114" s="4" t="n">
        <v>4</v>
      </c>
      <c r="M114" s="4" t="inlineStr">
        <is>
          <t>sin muestra</t>
        </is>
      </c>
      <c r="N114" s="4" t="inlineStr">
        <is>
          <t>no valorable</t>
        </is>
      </c>
      <c r="O114" s="4" t="inlineStr">
        <is>
          <t>ventana inicial sin histórico</t>
        </is>
      </c>
    </row>
    <row r="115">
      <c r="A115" s="4" t="inlineStr">
        <is>
          <t>MD-1181</t>
        </is>
      </c>
      <c r="B115" s="21" t="n">
        <v>45920</v>
      </c>
      <c r="C115" s="4" t="inlineStr">
        <is>
          <t>Retiro</t>
        </is>
      </c>
      <c r="D115" s="4" t="n">
        <v>90</v>
      </c>
      <c r="E115" s="4" t="inlineStr">
        <is>
          <t>a reformar</t>
        </is>
      </c>
      <c r="F115" s="22" t="n">
        <v>322000</v>
      </c>
      <c r="G115" s="23" t="n">
        <v>3577.78</v>
      </c>
      <c r="H115" s="22" t="n"/>
      <c r="I115" s="23" t="n"/>
      <c r="J115" s="18" t="n"/>
      <c r="K115" s="24" t="n"/>
      <c r="L115" s="4" t="n">
        <v>1</v>
      </c>
      <c r="M115" s="4" t="inlineStr">
        <is>
          <t>sin muestra</t>
        </is>
      </c>
      <c r="N115" s="4" t="inlineStr">
        <is>
          <t>no valorable</t>
        </is>
      </c>
      <c r="O115" s="4" t="inlineStr">
        <is>
          <t>ventana inicial sin histórico</t>
        </is>
      </c>
    </row>
    <row r="116">
      <c r="A116" s="4" t="inlineStr">
        <is>
          <t>MD-1015</t>
        </is>
      </c>
      <c r="B116" s="21" t="n">
        <v>45921</v>
      </c>
      <c r="C116" s="4" t="inlineStr">
        <is>
          <t>Salamanca</t>
        </is>
      </c>
      <c r="D116" s="4" t="n">
        <v>63</v>
      </c>
      <c r="E116" s="4" t="inlineStr">
        <is>
          <t>reformado</t>
        </is>
      </c>
      <c r="F116" s="22" t="n">
        <v>541000</v>
      </c>
      <c r="G116" s="23" t="n">
        <v>8587.299999999999</v>
      </c>
      <c r="H116" s="22" t="n"/>
      <c r="I116" s="23" t="n"/>
      <c r="J116" s="18" t="n"/>
      <c r="K116" s="24" t="n"/>
      <c r="L116" s="4" t="n">
        <v>3</v>
      </c>
      <c r="M116" s="4" t="inlineStr">
        <is>
          <t>sin muestra</t>
        </is>
      </c>
      <c r="N116" s="4" t="inlineStr">
        <is>
          <t>no valorable</t>
        </is>
      </c>
      <c r="O116" s="4" t="inlineStr">
        <is>
          <t>ventana inicial sin histórico</t>
        </is>
      </c>
    </row>
    <row r="117">
      <c r="A117" s="4" t="inlineStr">
        <is>
          <t>MD-1630</t>
        </is>
      </c>
      <c r="B117" s="21" t="n">
        <v>45921</v>
      </c>
      <c r="C117" s="4" t="inlineStr">
        <is>
          <t>Arganzuela</t>
        </is>
      </c>
      <c r="D117" s="4" t="n">
        <v>84</v>
      </c>
      <c r="E117" s="4" t="inlineStr">
        <is>
          <t>buen estado</t>
        </is>
      </c>
      <c r="F117" s="22" t="n">
        <v>533000</v>
      </c>
      <c r="G117" s="23" t="n">
        <v>6345.24</v>
      </c>
      <c r="H117" s="22" t="n"/>
      <c r="I117" s="23" t="n"/>
      <c r="J117" s="18" t="n"/>
      <c r="K117" s="24" t="n"/>
      <c r="L117" s="4" t="n">
        <v>1</v>
      </c>
      <c r="M117" s="4" t="inlineStr">
        <is>
          <t>sin muestra</t>
        </is>
      </c>
      <c r="N117" s="4" t="inlineStr">
        <is>
          <t>no valorable</t>
        </is>
      </c>
      <c r="O117" s="4" t="inlineStr">
        <is>
          <t>ventana inicial sin histórico</t>
        </is>
      </c>
    </row>
    <row r="118">
      <c r="A118" s="4" t="inlineStr">
        <is>
          <t>MD-1782</t>
        </is>
      </c>
      <c r="B118" s="21" t="n">
        <v>45921</v>
      </c>
      <c r="C118" s="4" t="inlineStr">
        <is>
          <t>Moncloa-Aravaca</t>
        </is>
      </c>
      <c r="D118" s="4" t="n">
        <v>39</v>
      </c>
      <c r="E118" s="4" t="inlineStr">
        <is>
          <t>a reformar</t>
        </is>
      </c>
      <c r="F118" s="22" t="n">
        <v>193000</v>
      </c>
      <c r="G118" s="23" t="n">
        <v>4948.72</v>
      </c>
      <c r="H118" s="22" t="n"/>
      <c r="I118" s="23" t="n"/>
      <c r="J118" s="18" t="n"/>
      <c r="K118" s="24" t="n"/>
      <c r="L118" s="4" t="n">
        <v>1</v>
      </c>
      <c r="M118" s="4" t="inlineStr">
        <is>
          <t>sin muestra</t>
        </is>
      </c>
      <c r="N118" s="4" t="inlineStr">
        <is>
          <t>no valorable</t>
        </is>
      </c>
      <c r="O118" s="4" t="inlineStr">
        <is>
          <t>ventana inicial sin histórico</t>
        </is>
      </c>
    </row>
    <row r="119">
      <c r="A119" s="4" t="inlineStr">
        <is>
          <t>MD-0158</t>
        </is>
      </c>
      <c r="B119" s="21" t="n">
        <v>45921</v>
      </c>
      <c r="C119" s="4" t="inlineStr">
        <is>
          <t>Ciudad Lineal</t>
        </is>
      </c>
      <c r="D119" s="4" t="n">
        <v>104</v>
      </c>
      <c r="E119" s="4" t="inlineStr">
        <is>
          <t>buen estado</t>
        </is>
      </c>
      <c r="F119" s="22" t="n">
        <v>368000</v>
      </c>
      <c r="G119" s="23" t="n">
        <v>3538.46</v>
      </c>
      <c r="H119" s="22" t="n"/>
      <c r="I119" s="23" t="n"/>
      <c r="J119" s="18" t="n"/>
      <c r="K119" s="24" t="n"/>
      <c r="L119" s="4" t="n">
        <v>0</v>
      </c>
      <c r="M119" s="4" t="inlineStr">
        <is>
          <t>sin muestra</t>
        </is>
      </c>
      <c r="N119" s="4" t="inlineStr">
        <is>
          <t>no valorable</t>
        </is>
      </c>
      <c r="O119" s="4" t="inlineStr">
        <is>
          <t>ventana inicial sin histórico</t>
        </is>
      </c>
    </row>
    <row r="120">
      <c r="A120" s="4" t="inlineStr">
        <is>
          <t>MD-1043</t>
        </is>
      </c>
      <c r="B120" s="21" t="n">
        <v>45921</v>
      </c>
      <c r="C120" s="4" t="inlineStr">
        <is>
          <t>Chamberi</t>
        </is>
      </c>
      <c r="D120" s="4" t="n">
        <v>171</v>
      </c>
      <c r="E120" s="4" t="inlineStr">
        <is>
          <t>reformado</t>
        </is>
      </c>
      <c r="F120" s="22" t="n">
        <v>1189000</v>
      </c>
      <c r="G120" s="23" t="n">
        <v>6953.22</v>
      </c>
      <c r="H120" s="22" t="n"/>
      <c r="I120" s="23" t="n"/>
      <c r="J120" s="18" t="n"/>
      <c r="K120" s="24" t="n"/>
      <c r="L120" s="4" t="n">
        <v>0</v>
      </c>
      <c r="M120" s="4" t="inlineStr">
        <is>
          <t>sin muestra</t>
        </is>
      </c>
      <c r="N120" s="4" t="inlineStr">
        <is>
          <t>no valorable</t>
        </is>
      </c>
      <c r="O120" s="4" t="inlineStr">
        <is>
          <t>ventana inicial sin histórico</t>
        </is>
      </c>
    </row>
    <row r="121">
      <c r="A121" s="4" t="inlineStr">
        <is>
          <t>MD-0041</t>
        </is>
      </c>
      <c r="B121" s="21" t="n">
        <v>45921</v>
      </c>
      <c r="C121" s="4" t="inlineStr">
        <is>
          <t>Chamartin</t>
        </is>
      </c>
      <c r="D121" s="4" t="n">
        <v>64</v>
      </c>
      <c r="E121" s="4" t="inlineStr">
        <is>
          <t>buen estado</t>
        </is>
      </c>
      <c r="F121" s="22" t="n">
        <v>603000</v>
      </c>
      <c r="G121" s="23" t="n">
        <v>9421.879999999999</v>
      </c>
      <c r="H121" s="22" t="n"/>
      <c r="I121" s="23" t="n"/>
      <c r="J121" s="18" t="n"/>
      <c r="K121" s="24" t="n"/>
      <c r="L121" s="4" t="n">
        <v>3</v>
      </c>
      <c r="M121" s="4" t="inlineStr">
        <is>
          <t>sin muestra</t>
        </is>
      </c>
      <c r="N121" s="4" t="inlineStr">
        <is>
          <t>no valorable</t>
        </is>
      </c>
      <c r="O121" s="4" t="inlineStr">
        <is>
          <t>ventana inicial sin histórico</t>
        </is>
      </c>
    </row>
    <row r="122">
      <c r="A122" s="4" t="inlineStr">
        <is>
          <t>MD-1893</t>
        </is>
      </c>
      <c r="B122" s="21" t="n">
        <v>45921</v>
      </c>
      <c r="C122" s="4" t="inlineStr">
        <is>
          <t>Barajas</t>
        </is>
      </c>
      <c r="D122" s="4" t="n">
        <v>80</v>
      </c>
      <c r="E122" s="4" t="inlineStr">
        <is>
          <t>buen estado</t>
        </is>
      </c>
      <c r="F122" s="22" t="n">
        <v>369000</v>
      </c>
      <c r="G122" s="23" t="n">
        <v>4612.5</v>
      </c>
      <c r="H122" s="22" t="n"/>
      <c r="I122" s="23" t="n"/>
      <c r="J122" s="18" t="n"/>
      <c r="K122" s="24" t="n"/>
      <c r="L122" s="4" t="n">
        <v>1</v>
      </c>
      <c r="M122" s="4" t="inlineStr">
        <is>
          <t>sin muestra</t>
        </is>
      </c>
      <c r="N122" s="4" t="inlineStr">
        <is>
          <t>no valorable</t>
        </is>
      </c>
      <c r="O122" s="4" t="inlineStr">
        <is>
          <t>ventana inicial sin histórico</t>
        </is>
      </c>
    </row>
    <row r="123">
      <c r="A123" s="4" t="inlineStr">
        <is>
          <t>MD-1524</t>
        </is>
      </c>
      <c r="B123" s="21" t="n">
        <v>45921</v>
      </c>
      <c r="C123" s="4" t="inlineStr">
        <is>
          <t>San Blas-Canillejas</t>
        </is>
      </c>
      <c r="D123" s="4" t="n">
        <v>74</v>
      </c>
      <c r="E123" s="4" t="inlineStr">
        <is>
          <t>reformado</t>
        </is>
      </c>
      <c r="F123" s="22" t="n">
        <v>339000</v>
      </c>
      <c r="G123" s="23" t="n">
        <v>4581.08</v>
      </c>
      <c r="H123" s="22" t="n"/>
      <c r="I123" s="23" t="n"/>
      <c r="J123" s="18" t="n"/>
      <c r="K123" s="24" t="n"/>
      <c r="L123" s="4" t="n">
        <v>2</v>
      </c>
      <c r="M123" s="4" t="inlineStr">
        <is>
          <t>sin muestra</t>
        </is>
      </c>
      <c r="N123" s="4" t="inlineStr">
        <is>
          <t>no valorable</t>
        </is>
      </c>
      <c r="O123" s="4" t="inlineStr">
        <is>
          <t>ventana inicial sin histórico</t>
        </is>
      </c>
    </row>
    <row r="124">
      <c r="A124" s="4" t="inlineStr">
        <is>
          <t>MD-0370</t>
        </is>
      </c>
      <c r="B124" s="21" t="n">
        <v>45921</v>
      </c>
      <c r="C124" s="4" t="inlineStr">
        <is>
          <t>Hortaleza</t>
        </is>
      </c>
      <c r="D124" s="4" t="n">
        <v>75</v>
      </c>
      <c r="E124" s="4" t="inlineStr">
        <is>
          <t>buen estado</t>
        </is>
      </c>
      <c r="F124" s="22" t="n">
        <v>425000</v>
      </c>
      <c r="G124" s="23" t="n">
        <v>5666.67</v>
      </c>
      <c r="H124" s="22" t="n"/>
      <c r="I124" s="23" t="n"/>
      <c r="J124" s="18" t="n"/>
      <c r="K124" s="24" t="n"/>
      <c r="L124" s="4" t="n">
        <v>2</v>
      </c>
      <c r="M124" s="4" t="inlineStr">
        <is>
          <t>sin muestra</t>
        </is>
      </c>
      <c r="N124" s="4" t="inlineStr">
        <is>
          <t>no valorable</t>
        </is>
      </c>
      <c r="O124" s="4" t="inlineStr">
        <is>
          <t>ventana inicial sin histórico</t>
        </is>
      </c>
    </row>
    <row r="125">
      <c r="A125" s="4" t="inlineStr">
        <is>
          <t>MD-1543</t>
        </is>
      </c>
      <c r="B125" s="21" t="n">
        <v>45921</v>
      </c>
      <c r="C125" s="4" t="inlineStr">
        <is>
          <t>Centro</t>
        </is>
      </c>
      <c r="D125" s="4" t="n">
        <v>62</v>
      </c>
      <c r="E125" s="4" t="inlineStr">
        <is>
          <t>obra nueva</t>
        </is>
      </c>
      <c r="F125" s="22" t="n">
        <v>488000</v>
      </c>
      <c r="G125" s="23" t="n">
        <v>7870.97</v>
      </c>
      <c r="H125" s="22" t="n"/>
      <c r="I125" s="23" t="n"/>
      <c r="J125" s="18" t="n"/>
      <c r="K125" s="24" t="n"/>
      <c r="L125" s="4" t="n">
        <v>2</v>
      </c>
      <c r="M125" s="4" t="inlineStr">
        <is>
          <t>sin muestra</t>
        </is>
      </c>
      <c r="N125" s="4" t="inlineStr">
        <is>
          <t>no valorable</t>
        </is>
      </c>
      <c r="O125" s="4" t="inlineStr">
        <is>
          <t>ventana inicial sin histórico</t>
        </is>
      </c>
    </row>
    <row r="126">
      <c r="A126" s="4" t="inlineStr">
        <is>
          <t>MD-0658</t>
        </is>
      </c>
      <c r="B126" s="21" t="n">
        <v>45921</v>
      </c>
      <c r="C126" s="4" t="inlineStr">
        <is>
          <t>Chamberi</t>
        </is>
      </c>
      <c r="D126" s="4" t="n">
        <v>58</v>
      </c>
      <c r="E126" s="4" t="inlineStr">
        <is>
          <t>buen estado</t>
        </is>
      </c>
      <c r="F126" s="22" t="n">
        <v>439000</v>
      </c>
      <c r="G126" s="23" t="n">
        <v>7568.97</v>
      </c>
      <c r="H126" s="22" t="n"/>
      <c r="I126" s="23" t="n"/>
      <c r="J126" s="18" t="n"/>
      <c r="K126" s="24" t="n"/>
      <c r="L126" s="4" t="n">
        <v>3</v>
      </c>
      <c r="M126" s="4" t="inlineStr">
        <is>
          <t>sin muestra</t>
        </is>
      </c>
      <c r="N126" s="4" t="inlineStr">
        <is>
          <t>no valorable</t>
        </is>
      </c>
      <c r="O126" s="4" t="inlineStr">
        <is>
          <t>ventana inicial sin histórico</t>
        </is>
      </c>
    </row>
    <row r="127">
      <c r="A127" s="4" t="inlineStr">
        <is>
          <t>MD-0451</t>
        </is>
      </c>
      <c r="B127" s="21" t="n">
        <v>45922</v>
      </c>
      <c r="C127" s="4" t="inlineStr">
        <is>
          <t>Puente de Vallecas</t>
        </is>
      </c>
      <c r="D127" s="4" t="n">
        <v>77</v>
      </c>
      <c r="E127" s="4" t="inlineStr">
        <is>
          <t>buen estado</t>
        </is>
      </c>
      <c r="F127" s="22" t="n">
        <v>206000</v>
      </c>
      <c r="G127" s="23" t="n">
        <v>2675.32</v>
      </c>
      <c r="H127" s="22" t="n">
        <v>242917</v>
      </c>
      <c r="I127" s="23" t="n">
        <v>3154.76</v>
      </c>
      <c r="J127" s="18" t="n">
        <v>-0.152</v>
      </c>
      <c r="K127" s="24" t="n">
        <v>88</v>
      </c>
      <c r="L127" s="4" t="n">
        <v>5</v>
      </c>
      <c r="M127" s="4" t="inlineStr">
        <is>
          <t>baja</t>
        </is>
      </c>
      <c r="N127" s="4" t="inlineStr">
        <is>
          <t>por debajo de comparables</t>
        </is>
      </c>
      <c r="O127" s="4" t="n"/>
    </row>
    <row r="128">
      <c r="A128" s="4" t="inlineStr">
        <is>
          <t>MD-1226</t>
        </is>
      </c>
      <c r="B128" s="21" t="n">
        <v>45922</v>
      </c>
      <c r="C128" s="4" t="inlineStr">
        <is>
          <t>San Blas-Canillejas</t>
        </is>
      </c>
      <c r="D128" s="4" t="n">
        <v>49</v>
      </c>
      <c r="E128" s="4" t="inlineStr">
        <is>
          <t>a reformar</t>
        </is>
      </c>
      <c r="F128" s="22" t="n">
        <v>156000</v>
      </c>
      <c r="G128" s="23" t="n">
        <v>3183.67</v>
      </c>
      <c r="H128" s="22" t="n"/>
      <c r="I128" s="23" t="n"/>
      <c r="J128" s="18" t="n"/>
      <c r="K128" s="24" t="n"/>
      <c r="L128" s="4" t="n">
        <v>2</v>
      </c>
      <c r="M128" s="4" t="inlineStr">
        <is>
          <t>sin muestra</t>
        </is>
      </c>
      <c r="N128" s="4" t="inlineStr">
        <is>
          <t>no valorable</t>
        </is>
      </c>
      <c r="O128" s="4" t="inlineStr">
        <is>
          <t>ventana inicial sin histórico</t>
        </is>
      </c>
    </row>
    <row r="129">
      <c r="A129" s="4" t="inlineStr">
        <is>
          <t>MD-0681</t>
        </is>
      </c>
      <c r="B129" s="21" t="n">
        <v>45923</v>
      </c>
      <c r="C129" s="4" t="inlineStr">
        <is>
          <t>Salamanca</t>
        </is>
      </c>
      <c r="D129" s="4" t="n">
        <v>31</v>
      </c>
      <c r="E129" s="4" t="inlineStr">
        <is>
          <t>buen estado</t>
        </is>
      </c>
      <c r="F129" s="22" t="n">
        <v>303000</v>
      </c>
      <c r="G129" s="23" t="n">
        <v>9774.190000000001</v>
      </c>
      <c r="H129" s="22" t="n"/>
      <c r="I129" s="23" t="n"/>
      <c r="J129" s="18" t="n"/>
      <c r="K129" s="24" t="n"/>
      <c r="L129" s="4" t="n">
        <v>0</v>
      </c>
      <c r="M129" s="4" t="inlineStr">
        <is>
          <t>sin muestra</t>
        </is>
      </c>
      <c r="N129" s="4" t="inlineStr">
        <is>
          <t>no valorable</t>
        </is>
      </c>
      <c r="O129" s="4" t="inlineStr">
        <is>
          <t>ventana inicial sin histórico</t>
        </is>
      </c>
    </row>
    <row r="130">
      <c r="A130" s="4" t="inlineStr">
        <is>
          <t>MD-1544</t>
        </is>
      </c>
      <c r="B130" s="21" t="n">
        <v>45923</v>
      </c>
      <c r="C130" s="4" t="inlineStr">
        <is>
          <t>Villa de Vallecas</t>
        </is>
      </c>
      <c r="D130" s="4" t="n">
        <v>80</v>
      </c>
      <c r="E130" s="4" t="inlineStr">
        <is>
          <t>buen estado</t>
        </is>
      </c>
      <c r="F130" s="22" t="n">
        <v>283000</v>
      </c>
      <c r="G130" s="23" t="n">
        <v>3537.5</v>
      </c>
      <c r="H130" s="22" t="n"/>
      <c r="I130" s="23" t="n"/>
      <c r="J130" s="18" t="n"/>
      <c r="K130" s="24" t="n"/>
      <c r="L130" s="4" t="n">
        <v>0</v>
      </c>
      <c r="M130" s="4" t="inlineStr">
        <is>
          <t>sin muestra</t>
        </is>
      </c>
      <c r="N130" s="4" t="inlineStr">
        <is>
          <t>no valorable</t>
        </is>
      </c>
      <c r="O130" s="4" t="inlineStr">
        <is>
          <t>ventana inicial sin histórico</t>
        </is>
      </c>
    </row>
    <row r="131">
      <c r="A131" s="4" t="inlineStr">
        <is>
          <t>MD-0729</t>
        </is>
      </c>
      <c r="B131" s="21" t="n">
        <v>45924</v>
      </c>
      <c r="C131" s="4" t="inlineStr">
        <is>
          <t>Carabanchel</t>
        </is>
      </c>
      <c r="D131" s="4" t="n">
        <v>67</v>
      </c>
      <c r="E131" s="4" t="inlineStr">
        <is>
          <t>buen estado</t>
        </is>
      </c>
      <c r="F131" s="22" t="n">
        <v>190000</v>
      </c>
      <c r="G131" s="23" t="n">
        <v>2835.82</v>
      </c>
      <c r="H131" s="22" t="n"/>
      <c r="I131" s="23" t="n"/>
      <c r="J131" s="18" t="n"/>
      <c r="K131" s="24" t="n"/>
      <c r="L131" s="4" t="n">
        <v>3</v>
      </c>
      <c r="M131" s="4" t="inlineStr">
        <is>
          <t>sin muestra</t>
        </is>
      </c>
      <c r="N131" s="4" t="inlineStr">
        <is>
          <t>no valorable</t>
        </is>
      </c>
      <c r="O131" s="4" t="inlineStr">
        <is>
          <t>ventana inicial sin histórico</t>
        </is>
      </c>
    </row>
    <row r="132">
      <c r="A132" s="4" t="inlineStr">
        <is>
          <t>MD-0354</t>
        </is>
      </c>
      <c r="B132" s="21" t="n">
        <v>45924</v>
      </c>
      <c r="C132" s="4" t="inlineStr">
        <is>
          <t>Retiro</t>
        </is>
      </c>
      <c r="D132" s="4" t="n">
        <v>72</v>
      </c>
      <c r="E132" s="4" t="inlineStr">
        <is>
          <t>buen estado</t>
        </is>
      </c>
      <c r="F132" s="22" t="n">
        <v>490000</v>
      </c>
      <c r="G132" s="23" t="n">
        <v>6805.56</v>
      </c>
      <c r="H132" s="22" t="n"/>
      <c r="I132" s="23" t="n"/>
      <c r="J132" s="18" t="n"/>
      <c r="K132" s="24" t="n"/>
      <c r="L132" s="4" t="n">
        <v>1</v>
      </c>
      <c r="M132" s="4" t="inlineStr">
        <is>
          <t>sin muestra</t>
        </is>
      </c>
      <c r="N132" s="4" t="inlineStr">
        <is>
          <t>no valorable</t>
        </is>
      </c>
      <c r="O132" s="4" t="inlineStr">
        <is>
          <t>ventana inicial sin histórico</t>
        </is>
      </c>
    </row>
    <row r="133">
      <c r="A133" s="4" t="inlineStr">
        <is>
          <t>MD-1469</t>
        </is>
      </c>
      <c r="B133" s="21" t="n">
        <v>45924</v>
      </c>
      <c r="C133" s="4" t="inlineStr">
        <is>
          <t>Retiro</t>
        </is>
      </c>
      <c r="D133" s="4" t="n">
        <v>180</v>
      </c>
      <c r="E133" s="4" t="inlineStr">
        <is>
          <t>buen estado</t>
        </is>
      </c>
      <c r="F133" s="22" t="n">
        <v>910000</v>
      </c>
      <c r="G133" s="23" t="n">
        <v>5055.56</v>
      </c>
      <c r="H133" s="22" t="n"/>
      <c r="I133" s="23" t="n"/>
      <c r="J133" s="18" t="n"/>
      <c r="K133" s="24" t="n"/>
      <c r="L133" s="4" t="n">
        <v>0</v>
      </c>
      <c r="M133" s="4" t="inlineStr">
        <is>
          <t>sin muestra</t>
        </is>
      </c>
      <c r="N133" s="4" t="inlineStr">
        <is>
          <t>no valorable</t>
        </is>
      </c>
      <c r="O133" s="4" t="inlineStr">
        <is>
          <t>ventana inicial sin histórico</t>
        </is>
      </c>
    </row>
    <row r="134">
      <c r="A134" s="4" t="inlineStr">
        <is>
          <t>MD-1427</t>
        </is>
      </c>
      <c r="B134" s="21" t="n">
        <v>45925</v>
      </c>
      <c r="C134" s="4" t="inlineStr">
        <is>
          <t>Puente de Vallecas</t>
        </is>
      </c>
      <c r="D134" s="4" t="n">
        <v>60</v>
      </c>
      <c r="E134" s="4" t="inlineStr">
        <is>
          <t>buen estado</t>
        </is>
      </c>
      <c r="F134" s="22" t="n">
        <v>231000</v>
      </c>
      <c r="G134" s="23" t="n">
        <v>3850</v>
      </c>
      <c r="H134" s="22" t="n">
        <v>162188</v>
      </c>
      <c r="I134" s="23" t="n">
        <v>2703.14</v>
      </c>
      <c r="J134" s="18" t="n">
        <v>0.4243</v>
      </c>
      <c r="K134" s="24" t="n">
        <v>0</v>
      </c>
      <c r="L134" s="4" t="n">
        <v>6</v>
      </c>
      <c r="M134" s="4" t="inlineStr">
        <is>
          <t>baja</t>
        </is>
      </c>
      <c r="N134" s="4" t="inlineStr">
        <is>
          <t>por encima de comparables</t>
        </is>
      </c>
      <c r="O134" s="4" t="n"/>
    </row>
    <row r="135">
      <c r="A135" s="4" t="inlineStr">
        <is>
          <t>MD-1567</t>
        </is>
      </c>
      <c r="B135" s="21" t="n">
        <v>45925</v>
      </c>
      <c r="C135" s="4" t="inlineStr">
        <is>
          <t>Chamberi</t>
        </is>
      </c>
      <c r="D135" s="4" t="n">
        <v>52</v>
      </c>
      <c r="E135" s="4" t="inlineStr">
        <is>
          <t>reformado</t>
        </is>
      </c>
      <c r="F135" s="22" t="n">
        <v>533000</v>
      </c>
      <c r="G135" s="23" t="n">
        <v>10250</v>
      </c>
      <c r="H135" s="22" t="n"/>
      <c r="I135" s="23" t="n"/>
      <c r="J135" s="18" t="n"/>
      <c r="K135" s="24" t="n"/>
      <c r="L135" s="4" t="n">
        <v>1</v>
      </c>
      <c r="M135" s="4" t="inlineStr">
        <is>
          <t>sin muestra</t>
        </is>
      </c>
      <c r="N135" s="4" t="inlineStr">
        <is>
          <t>no valorable</t>
        </is>
      </c>
      <c r="O135" s="4" t="inlineStr">
        <is>
          <t>ventana inicial sin histórico</t>
        </is>
      </c>
    </row>
    <row r="136">
      <c r="A136" s="4" t="inlineStr">
        <is>
          <t>MD-0123</t>
        </is>
      </c>
      <c r="B136" s="21" t="n">
        <v>45925</v>
      </c>
      <c r="C136" s="4" t="inlineStr">
        <is>
          <t>Puente de Vallecas</t>
        </is>
      </c>
      <c r="D136" s="4" t="n">
        <v>59</v>
      </c>
      <c r="E136" s="4" t="inlineStr">
        <is>
          <t>a reformar</t>
        </is>
      </c>
      <c r="F136" s="22" t="n">
        <v>110000</v>
      </c>
      <c r="G136" s="23" t="n">
        <v>1864.41</v>
      </c>
      <c r="H136" s="22" t="n">
        <v>153604</v>
      </c>
      <c r="I136" s="23" t="n">
        <v>2603.45</v>
      </c>
      <c r="J136" s="18" t="n">
        <v>-0.2839</v>
      </c>
      <c r="K136" s="24" t="n">
        <v>100</v>
      </c>
      <c r="L136" s="4" t="n">
        <v>5</v>
      </c>
      <c r="M136" s="4" t="inlineStr">
        <is>
          <t>baja</t>
        </is>
      </c>
      <c r="N136" s="4" t="inlineStr">
        <is>
          <t>por debajo de comparables</t>
        </is>
      </c>
      <c r="O136" s="4" t="n"/>
    </row>
    <row r="137">
      <c r="A137" s="4" t="inlineStr">
        <is>
          <t>MD-1049</t>
        </is>
      </c>
      <c r="B137" s="21" t="n">
        <v>45925</v>
      </c>
      <c r="C137" s="4" t="inlineStr">
        <is>
          <t>Salamanca</t>
        </is>
      </c>
      <c r="D137" s="4" t="n">
        <v>49</v>
      </c>
      <c r="E137" s="4" t="inlineStr">
        <is>
          <t>reformado</t>
        </is>
      </c>
      <c r="F137" s="22" t="n">
        <v>435000</v>
      </c>
      <c r="G137" s="23" t="n">
        <v>8877.549999999999</v>
      </c>
      <c r="H137" s="22" t="n"/>
      <c r="I137" s="23" t="n"/>
      <c r="J137" s="18" t="n"/>
      <c r="K137" s="24" t="n"/>
      <c r="L137" s="4" t="n">
        <v>1</v>
      </c>
      <c r="M137" s="4" t="inlineStr">
        <is>
          <t>sin muestra</t>
        </is>
      </c>
      <c r="N137" s="4" t="inlineStr">
        <is>
          <t>no valorable</t>
        </is>
      </c>
      <c r="O137" s="4" t="inlineStr">
        <is>
          <t>ventana inicial sin histórico</t>
        </is>
      </c>
    </row>
    <row r="138">
      <c r="A138" s="4" t="inlineStr">
        <is>
          <t>MD-1060</t>
        </is>
      </c>
      <c r="B138" s="21" t="n">
        <v>45926</v>
      </c>
      <c r="C138" s="4" t="inlineStr">
        <is>
          <t>Latina</t>
        </is>
      </c>
      <c r="D138" s="4" t="n">
        <v>63</v>
      </c>
      <c r="E138" s="4" t="inlineStr">
        <is>
          <t>a reformar</t>
        </is>
      </c>
      <c r="F138" s="22" t="n">
        <v>166000</v>
      </c>
      <c r="G138" s="23" t="n">
        <v>2634.92</v>
      </c>
      <c r="H138" s="22" t="n"/>
      <c r="I138" s="23" t="n"/>
      <c r="J138" s="18" t="n"/>
      <c r="K138" s="24" t="n"/>
      <c r="L138" s="4" t="n">
        <v>4</v>
      </c>
      <c r="M138" s="4" t="inlineStr">
        <is>
          <t>sin muestra</t>
        </is>
      </c>
      <c r="N138" s="4" t="inlineStr">
        <is>
          <t>no valorable</t>
        </is>
      </c>
      <c r="O138" s="4" t="inlineStr">
        <is>
          <t>ventana inicial sin histórico</t>
        </is>
      </c>
    </row>
    <row r="139">
      <c r="A139" s="4" t="inlineStr">
        <is>
          <t>MD-0827</t>
        </is>
      </c>
      <c r="B139" s="21" t="n">
        <v>45926</v>
      </c>
      <c r="C139" s="4" t="inlineStr">
        <is>
          <t>Chamartin</t>
        </is>
      </c>
      <c r="D139" s="4" t="n">
        <v>42</v>
      </c>
      <c r="E139" s="4" t="inlineStr">
        <is>
          <t>buen estado</t>
        </is>
      </c>
      <c r="F139" s="22" t="n">
        <v>338000</v>
      </c>
      <c r="G139" s="23" t="n">
        <v>8047.62</v>
      </c>
      <c r="H139" s="22" t="n"/>
      <c r="I139" s="23" t="n"/>
      <c r="J139" s="18" t="n"/>
      <c r="K139" s="24" t="n"/>
      <c r="L139" s="4" t="n">
        <v>1</v>
      </c>
      <c r="M139" s="4" t="inlineStr">
        <is>
          <t>sin muestra</t>
        </is>
      </c>
      <c r="N139" s="4" t="inlineStr">
        <is>
          <t>no valorable</t>
        </is>
      </c>
      <c r="O139" s="4" t="inlineStr">
        <is>
          <t>ventana inicial sin histórico</t>
        </is>
      </c>
    </row>
    <row r="140">
      <c r="A140" s="4" t="inlineStr">
        <is>
          <t>MD-0593</t>
        </is>
      </c>
      <c r="B140" s="21" t="n">
        <v>45926</v>
      </c>
      <c r="C140" s="4" t="inlineStr">
        <is>
          <t>Tetuan</t>
        </is>
      </c>
      <c r="D140" s="4" t="n">
        <v>58</v>
      </c>
      <c r="E140" s="4" t="inlineStr">
        <is>
          <t>buen estado</t>
        </is>
      </c>
      <c r="F140" s="22" t="n">
        <v>282000</v>
      </c>
      <c r="G140" s="23" t="n">
        <v>4862.07</v>
      </c>
      <c r="H140" s="22" t="n"/>
      <c r="I140" s="23" t="n"/>
      <c r="J140" s="18" t="n"/>
      <c r="K140" s="24" t="n"/>
      <c r="L140" s="4" t="n">
        <v>0</v>
      </c>
      <c r="M140" s="4" t="inlineStr">
        <is>
          <t>sin muestra</t>
        </is>
      </c>
      <c r="N140" s="4" t="inlineStr">
        <is>
          <t>no valorable</t>
        </is>
      </c>
      <c r="O140" s="4" t="inlineStr">
        <is>
          <t>ventana inicial sin histórico</t>
        </is>
      </c>
    </row>
    <row r="141">
      <c r="A141" s="4" t="inlineStr">
        <is>
          <t>MD-0338</t>
        </is>
      </c>
      <c r="B141" s="21" t="n">
        <v>45926</v>
      </c>
      <c r="C141" s="4" t="inlineStr">
        <is>
          <t>Puente de Vallecas</t>
        </is>
      </c>
      <c r="D141" s="4" t="n">
        <v>72</v>
      </c>
      <c r="E141" s="4" t="inlineStr">
        <is>
          <t>buen estado</t>
        </is>
      </c>
      <c r="F141" s="22" t="n">
        <v>201000</v>
      </c>
      <c r="G141" s="23" t="n">
        <v>2791.67</v>
      </c>
      <c r="H141" s="22" t="n">
        <v>197213</v>
      </c>
      <c r="I141" s="23" t="n">
        <v>2739.07</v>
      </c>
      <c r="J141" s="18" t="n">
        <v>0.0192</v>
      </c>
      <c r="K141" s="24" t="n">
        <v>45.2</v>
      </c>
      <c r="L141" s="4" t="n">
        <v>10</v>
      </c>
      <c r="M141" s="4" t="inlineStr">
        <is>
          <t>media</t>
        </is>
      </c>
      <c r="N141" s="4" t="inlineStr">
        <is>
          <t>en linea con comparables</t>
        </is>
      </c>
      <c r="O141" s="4" t="n"/>
    </row>
    <row r="142">
      <c r="A142" s="4" t="inlineStr">
        <is>
          <t>MD-0477</t>
        </is>
      </c>
      <c r="B142" s="21" t="n">
        <v>45926</v>
      </c>
      <c r="C142" s="4" t="inlineStr">
        <is>
          <t>Arganzuela</t>
        </is>
      </c>
      <c r="D142" s="4" t="n">
        <v>55</v>
      </c>
      <c r="E142" s="4" t="inlineStr">
        <is>
          <t>buen estado</t>
        </is>
      </c>
      <c r="F142" s="22" t="n">
        <v>358000</v>
      </c>
      <c r="G142" s="23" t="n">
        <v>6509.09</v>
      </c>
      <c r="H142" s="22" t="n"/>
      <c r="I142" s="23" t="n"/>
      <c r="J142" s="18" t="n"/>
      <c r="K142" s="24" t="n"/>
      <c r="L142" s="4" t="n">
        <v>1</v>
      </c>
      <c r="M142" s="4" t="inlineStr">
        <is>
          <t>sin muestra</t>
        </is>
      </c>
      <c r="N142" s="4" t="inlineStr">
        <is>
          <t>no valorable</t>
        </is>
      </c>
      <c r="O142" s="4" t="inlineStr">
        <is>
          <t>ventana inicial sin histórico</t>
        </is>
      </c>
    </row>
    <row r="143">
      <c r="A143" s="4" t="inlineStr">
        <is>
          <t>MD-1813</t>
        </is>
      </c>
      <c r="B143" s="21" t="n">
        <v>45926</v>
      </c>
      <c r="C143" s="4" t="inlineStr">
        <is>
          <t>Centro</t>
        </is>
      </c>
      <c r="D143" s="4" t="n">
        <v>90</v>
      </c>
      <c r="E143" s="4" t="inlineStr">
        <is>
          <t>buen estado</t>
        </is>
      </c>
      <c r="F143" s="22" t="n">
        <v>688000</v>
      </c>
      <c r="G143" s="23" t="n">
        <v>7644.44</v>
      </c>
      <c r="H143" s="22" t="n"/>
      <c r="I143" s="23" t="n"/>
      <c r="J143" s="18" t="n"/>
      <c r="K143" s="24" t="n"/>
      <c r="L143" s="4" t="n">
        <v>2</v>
      </c>
      <c r="M143" s="4" t="inlineStr">
        <is>
          <t>sin muestra</t>
        </is>
      </c>
      <c r="N143" s="4" t="inlineStr">
        <is>
          <t>no valorable</t>
        </is>
      </c>
      <c r="O143" s="4" t="inlineStr">
        <is>
          <t>ventana inicial sin histórico</t>
        </is>
      </c>
    </row>
    <row r="144">
      <c r="A144" s="4" t="inlineStr">
        <is>
          <t>MD-0149</t>
        </is>
      </c>
      <c r="B144" s="21" t="n">
        <v>45926</v>
      </c>
      <c r="C144" s="4" t="inlineStr">
        <is>
          <t>Vicalvaro</t>
        </is>
      </c>
      <c r="D144" s="4" t="n">
        <v>79</v>
      </c>
      <c r="E144" s="4" t="inlineStr">
        <is>
          <t>reformado</t>
        </is>
      </c>
      <c r="F144" s="22" t="n">
        <v>248000</v>
      </c>
      <c r="G144" s="23" t="n">
        <v>3139.24</v>
      </c>
      <c r="H144" s="22" t="n"/>
      <c r="I144" s="23" t="n"/>
      <c r="J144" s="18" t="n"/>
      <c r="K144" s="24" t="n"/>
      <c r="L144" s="4" t="n">
        <v>2</v>
      </c>
      <c r="M144" s="4" t="inlineStr">
        <is>
          <t>sin muestra</t>
        </is>
      </c>
      <c r="N144" s="4" t="inlineStr">
        <is>
          <t>no valorable</t>
        </is>
      </c>
      <c r="O144" s="4" t="inlineStr">
        <is>
          <t>ventana inicial sin histórico</t>
        </is>
      </c>
    </row>
    <row r="145">
      <c r="A145" s="4" t="inlineStr">
        <is>
          <t>MD-0689</t>
        </is>
      </c>
      <c r="B145" s="21" t="n">
        <v>45926</v>
      </c>
      <c r="C145" s="4" t="inlineStr">
        <is>
          <t>Puente de Vallecas</t>
        </is>
      </c>
      <c r="D145" s="4" t="n">
        <v>43</v>
      </c>
      <c r="E145" s="4" t="inlineStr">
        <is>
          <t>buen estado</t>
        </is>
      </c>
      <c r="F145" s="22" t="n">
        <v>119000</v>
      </c>
      <c r="G145" s="23" t="n">
        <v>2767.44</v>
      </c>
      <c r="H145" s="22" t="n"/>
      <c r="I145" s="23" t="n"/>
      <c r="J145" s="18" t="n"/>
      <c r="K145" s="24" t="n"/>
      <c r="L145" s="4" t="n">
        <v>3</v>
      </c>
      <c r="M145" s="4" t="inlineStr">
        <is>
          <t>sin muestra</t>
        </is>
      </c>
      <c r="N145" s="4" t="inlineStr">
        <is>
          <t>no valorable</t>
        </is>
      </c>
      <c r="O145" s="4" t="inlineStr">
        <is>
          <t>ventana inicial sin histórico</t>
        </is>
      </c>
    </row>
    <row r="146">
      <c r="A146" s="4" t="inlineStr">
        <is>
          <t>MD-0021</t>
        </is>
      </c>
      <c r="B146" s="21" t="n">
        <v>45927</v>
      </c>
      <c r="C146" s="4" t="inlineStr">
        <is>
          <t>Usera</t>
        </is>
      </c>
      <c r="D146" s="4" t="n">
        <v>89</v>
      </c>
      <c r="E146" s="4" t="inlineStr">
        <is>
          <t>a reformar</t>
        </is>
      </c>
      <c r="F146" s="22" t="n">
        <v>217000</v>
      </c>
      <c r="G146" s="23" t="n">
        <v>2438.2</v>
      </c>
      <c r="H146" s="22" t="n"/>
      <c r="I146" s="23" t="n"/>
      <c r="J146" s="18" t="n"/>
      <c r="K146" s="24" t="n"/>
      <c r="L146" s="4" t="n">
        <v>1</v>
      </c>
      <c r="M146" s="4" t="inlineStr">
        <is>
          <t>sin muestra</t>
        </is>
      </c>
      <c r="N146" s="4" t="inlineStr">
        <is>
          <t>no valorable</t>
        </is>
      </c>
      <c r="O146" s="4" t="inlineStr">
        <is>
          <t>ventana inicial sin histórico</t>
        </is>
      </c>
    </row>
    <row r="147">
      <c r="A147" s="4" t="inlineStr">
        <is>
          <t>MD-1397</t>
        </is>
      </c>
      <c r="B147" s="21" t="n">
        <v>45927</v>
      </c>
      <c r="C147" s="4" t="inlineStr">
        <is>
          <t>Puente de Vallecas</t>
        </is>
      </c>
      <c r="D147" s="4" t="n">
        <v>40</v>
      </c>
      <c r="E147" s="4" t="inlineStr">
        <is>
          <t>a reformar</t>
        </is>
      </c>
      <c r="F147" s="22" t="n">
        <v>80000</v>
      </c>
      <c r="G147" s="23" t="n">
        <v>2000</v>
      </c>
      <c r="H147" s="22" t="n"/>
      <c r="I147" s="23" t="n"/>
      <c r="J147" s="18" t="n"/>
      <c r="K147" s="24" t="n"/>
      <c r="L147" s="4" t="n">
        <v>3</v>
      </c>
      <c r="M147" s="4" t="inlineStr">
        <is>
          <t>sin muestra</t>
        </is>
      </c>
      <c r="N147" s="4" t="inlineStr">
        <is>
          <t>no valorable</t>
        </is>
      </c>
      <c r="O147" s="4" t="inlineStr">
        <is>
          <t>ventana inicial sin histórico</t>
        </is>
      </c>
    </row>
    <row r="148">
      <c r="A148" s="4" t="inlineStr">
        <is>
          <t>MD-0014</t>
        </is>
      </c>
      <c r="B148" s="21" t="n">
        <v>45927</v>
      </c>
      <c r="C148" s="4" t="inlineStr">
        <is>
          <t>Tetuan</t>
        </is>
      </c>
      <c r="D148" s="4" t="n">
        <v>74</v>
      </c>
      <c r="E148" s="4" t="inlineStr">
        <is>
          <t>a reformar</t>
        </is>
      </c>
      <c r="F148" s="22" t="n">
        <v>274000</v>
      </c>
      <c r="G148" s="23" t="n">
        <v>3702.7</v>
      </c>
      <c r="H148" s="22" t="n"/>
      <c r="I148" s="23" t="n"/>
      <c r="J148" s="18" t="n"/>
      <c r="K148" s="24" t="n"/>
      <c r="L148" s="4" t="n">
        <v>1</v>
      </c>
      <c r="M148" s="4" t="inlineStr">
        <is>
          <t>sin muestra</t>
        </is>
      </c>
      <c r="N148" s="4" t="inlineStr">
        <is>
          <t>no valorable</t>
        </is>
      </c>
      <c r="O148" s="4" t="inlineStr">
        <is>
          <t>ventana inicial sin histórico</t>
        </is>
      </c>
    </row>
    <row r="149">
      <c r="A149" s="4" t="inlineStr">
        <is>
          <t>MD-1187</t>
        </is>
      </c>
      <c r="B149" s="21" t="n">
        <v>45927</v>
      </c>
      <c r="C149" s="4" t="inlineStr">
        <is>
          <t>Moncloa-Aravaca</t>
        </is>
      </c>
      <c r="D149" s="4" t="n">
        <v>176</v>
      </c>
      <c r="E149" s="4" t="inlineStr">
        <is>
          <t>buen estado</t>
        </is>
      </c>
      <c r="F149" s="22" t="n">
        <v>1004000</v>
      </c>
      <c r="G149" s="23" t="n">
        <v>5704.55</v>
      </c>
      <c r="H149" s="22" t="n"/>
      <c r="I149" s="23" t="n"/>
      <c r="J149" s="18" t="n"/>
      <c r="K149" s="24" t="n"/>
      <c r="L149" s="4" t="n">
        <v>0</v>
      </c>
      <c r="M149" s="4" t="inlineStr">
        <is>
          <t>sin muestra</t>
        </is>
      </c>
      <c r="N149" s="4" t="inlineStr">
        <is>
          <t>no valorable</t>
        </is>
      </c>
      <c r="O149" s="4" t="inlineStr">
        <is>
          <t>ventana inicial sin histórico</t>
        </is>
      </c>
    </row>
    <row r="150">
      <c r="A150" s="4" t="inlineStr">
        <is>
          <t>MD-1128</t>
        </is>
      </c>
      <c r="B150" s="21" t="n">
        <v>45927</v>
      </c>
      <c r="C150" s="4" t="inlineStr">
        <is>
          <t>Latina</t>
        </is>
      </c>
      <c r="D150" s="4" t="n">
        <v>82</v>
      </c>
      <c r="E150" s="4" t="inlineStr">
        <is>
          <t>reformado</t>
        </is>
      </c>
      <c r="F150" s="22" t="n">
        <v>291000</v>
      </c>
      <c r="G150" s="23" t="n">
        <v>3548.78</v>
      </c>
      <c r="H150" s="22" t="n">
        <v>244975</v>
      </c>
      <c r="I150" s="23" t="n">
        <v>2987.5</v>
      </c>
      <c r="J150" s="18" t="n">
        <v>0.1879</v>
      </c>
      <c r="K150" s="24" t="n">
        <v>3</v>
      </c>
      <c r="L150" s="4" t="n">
        <v>5</v>
      </c>
      <c r="M150" s="4" t="inlineStr">
        <is>
          <t>baja</t>
        </is>
      </c>
      <c r="N150" s="4" t="inlineStr">
        <is>
          <t>por encima de comparables</t>
        </is>
      </c>
      <c r="O150" s="4" t="n"/>
    </row>
    <row r="151">
      <c r="A151" s="4" t="inlineStr">
        <is>
          <t>MD-1750</t>
        </is>
      </c>
      <c r="B151" s="21" t="n">
        <v>45927</v>
      </c>
      <c r="C151" s="4" t="inlineStr">
        <is>
          <t>Hortaleza</t>
        </is>
      </c>
      <c r="D151" s="4" t="n">
        <v>145</v>
      </c>
      <c r="E151" s="4" t="inlineStr">
        <is>
          <t>buen estado</t>
        </is>
      </c>
      <c r="F151" s="22" t="n">
        <v>649000</v>
      </c>
      <c r="G151" s="23" t="n">
        <v>4475.86</v>
      </c>
      <c r="H151" s="22" t="n"/>
      <c r="I151" s="23" t="n"/>
      <c r="J151" s="18" t="n"/>
      <c r="K151" s="24" t="n"/>
      <c r="L151" s="4" t="n">
        <v>2</v>
      </c>
      <c r="M151" s="4" t="inlineStr">
        <is>
          <t>sin muestra</t>
        </is>
      </c>
      <c r="N151" s="4" t="inlineStr">
        <is>
          <t>no valorable</t>
        </is>
      </c>
      <c r="O151" s="4" t="inlineStr">
        <is>
          <t>ventana inicial sin histórico</t>
        </is>
      </c>
    </row>
    <row r="152">
      <c r="A152" s="4" t="inlineStr">
        <is>
          <t>MD-0743</t>
        </is>
      </c>
      <c r="B152" s="21" t="n">
        <v>45927</v>
      </c>
      <c r="C152" s="4" t="inlineStr">
        <is>
          <t>Fuencarral-El Pardo</t>
        </is>
      </c>
      <c r="D152" s="4" t="n">
        <v>55</v>
      </c>
      <c r="E152" s="4" t="inlineStr">
        <is>
          <t>buen estado</t>
        </is>
      </c>
      <c r="F152" s="22" t="n">
        <v>251000</v>
      </c>
      <c r="G152" s="23" t="n">
        <v>4563.64</v>
      </c>
      <c r="H152" s="22" t="n"/>
      <c r="I152" s="23" t="n"/>
      <c r="J152" s="18" t="n"/>
      <c r="K152" s="24" t="n"/>
      <c r="L152" s="4" t="n">
        <v>2</v>
      </c>
      <c r="M152" s="4" t="inlineStr">
        <is>
          <t>sin muestra</t>
        </is>
      </c>
      <c r="N152" s="4" t="inlineStr">
        <is>
          <t>no valorable</t>
        </is>
      </c>
      <c r="O152" s="4" t="inlineStr">
        <is>
          <t>ventana inicial sin histórico</t>
        </is>
      </c>
    </row>
    <row r="153">
      <c r="A153" s="4" t="inlineStr">
        <is>
          <t>MD-0383</t>
        </is>
      </c>
      <c r="B153" s="21" t="n">
        <v>45927</v>
      </c>
      <c r="C153" s="4" t="inlineStr">
        <is>
          <t>Latina</t>
        </is>
      </c>
      <c r="D153" s="4" t="n">
        <v>42</v>
      </c>
      <c r="E153" s="4" t="inlineStr">
        <is>
          <t>a reformar</t>
        </is>
      </c>
      <c r="F153" s="22" t="n">
        <v>116000</v>
      </c>
      <c r="G153" s="23" t="n">
        <v>2761.9</v>
      </c>
      <c r="H153" s="22" t="n"/>
      <c r="I153" s="23" t="n"/>
      <c r="J153" s="18" t="n"/>
      <c r="K153" s="24" t="n"/>
      <c r="L153" s="4" t="n">
        <v>4</v>
      </c>
      <c r="M153" s="4" t="inlineStr">
        <is>
          <t>sin muestra</t>
        </is>
      </c>
      <c r="N153" s="4" t="inlineStr">
        <is>
          <t>no valorable</t>
        </is>
      </c>
      <c r="O153" s="4" t="inlineStr">
        <is>
          <t>ventana inicial sin histórico</t>
        </is>
      </c>
    </row>
    <row r="154">
      <c r="A154" s="4" t="inlineStr">
        <is>
          <t>MD-0988</t>
        </is>
      </c>
      <c r="B154" s="21" t="n">
        <v>45928</v>
      </c>
      <c r="C154" s="4" t="inlineStr">
        <is>
          <t>Chamberi</t>
        </is>
      </c>
      <c r="D154" s="4" t="n">
        <v>55</v>
      </c>
      <c r="E154" s="4" t="inlineStr">
        <is>
          <t>a reformar</t>
        </is>
      </c>
      <c r="F154" s="22" t="n">
        <v>419000</v>
      </c>
      <c r="G154" s="23" t="n">
        <v>7618.18</v>
      </c>
      <c r="H154" s="22" t="n">
        <v>526429</v>
      </c>
      <c r="I154" s="23" t="n">
        <v>9571.43</v>
      </c>
      <c r="J154" s="18" t="n">
        <v>-0.2041</v>
      </c>
      <c r="K154" s="24" t="n">
        <v>100</v>
      </c>
      <c r="L154" s="4" t="n">
        <v>5</v>
      </c>
      <c r="M154" s="4" t="inlineStr">
        <is>
          <t>baja</t>
        </is>
      </c>
      <c r="N154" s="4" t="inlineStr">
        <is>
          <t>por debajo de comparables</t>
        </is>
      </c>
      <c r="O154" s="4" t="n"/>
    </row>
    <row r="155">
      <c r="A155" s="4" t="inlineStr">
        <is>
          <t>MD-0092</t>
        </is>
      </c>
      <c r="B155" s="21" t="n">
        <v>45928</v>
      </c>
      <c r="C155" s="4" t="inlineStr">
        <is>
          <t>Hortaleza</t>
        </is>
      </c>
      <c r="D155" s="4" t="n">
        <v>150</v>
      </c>
      <c r="E155" s="4" t="inlineStr">
        <is>
          <t>a reformar</t>
        </is>
      </c>
      <c r="F155" s="22" t="n">
        <v>586000</v>
      </c>
      <c r="G155" s="23" t="n">
        <v>3906.67</v>
      </c>
      <c r="H155" s="22" t="n"/>
      <c r="I155" s="23" t="n"/>
      <c r="J155" s="18" t="n"/>
      <c r="K155" s="24" t="n"/>
      <c r="L155" s="4" t="n">
        <v>3</v>
      </c>
      <c r="M155" s="4" t="inlineStr">
        <is>
          <t>sin muestra</t>
        </is>
      </c>
      <c r="N155" s="4" t="inlineStr">
        <is>
          <t>no valorable</t>
        </is>
      </c>
      <c r="O155" s="4" t="inlineStr">
        <is>
          <t>ventana inicial sin histórico</t>
        </is>
      </c>
    </row>
    <row r="156">
      <c r="A156" s="4" t="inlineStr">
        <is>
          <t>MD-1686</t>
        </is>
      </c>
      <c r="B156" s="21" t="n">
        <v>45928</v>
      </c>
      <c r="C156" s="4" t="inlineStr">
        <is>
          <t>Chamartin</t>
        </is>
      </c>
      <c r="D156" s="4" t="n">
        <v>101</v>
      </c>
      <c r="E156" s="4" t="inlineStr">
        <is>
          <t>buen estado</t>
        </is>
      </c>
      <c r="F156" s="22" t="n">
        <v>658000</v>
      </c>
      <c r="G156" s="23" t="n">
        <v>6514.85</v>
      </c>
      <c r="H156" s="22" t="n"/>
      <c r="I156" s="23" t="n"/>
      <c r="J156" s="18" t="n"/>
      <c r="K156" s="24" t="n"/>
      <c r="L156" s="4" t="n">
        <v>3</v>
      </c>
      <c r="M156" s="4" t="inlineStr">
        <is>
          <t>sin muestra</t>
        </is>
      </c>
      <c r="N156" s="4" t="inlineStr">
        <is>
          <t>no valorable</t>
        </is>
      </c>
      <c r="O156" s="4" t="inlineStr">
        <is>
          <t>ventana inicial sin histórico</t>
        </is>
      </c>
    </row>
    <row r="157">
      <c r="A157" s="4" t="inlineStr">
        <is>
          <t>MD-1739</t>
        </is>
      </c>
      <c r="B157" s="21" t="n">
        <v>45929</v>
      </c>
      <c r="C157" s="4" t="inlineStr">
        <is>
          <t>Tetuan</t>
        </is>
      </c>
      <c r="D157" s="4" t="n">
        <v>45</v>
      </c>
      <c r="E157" s="4" t="inlineStr">
        <is>
          <t>buen estado</t>
        </is>
      </c>
      <c r="F157" s="22" t="n">
        <v>178000</v>
      </c>
      <c r="G157" s="23" t="n">
        <v>3955.56</v>
      </c>
      <c r="H157" s="22" t="n"/>
      <c r="I157" s="23" t="n"/>
      <c r="J157" s="18" t="n"/>
      <c r="K157" s="24" t="n"/>
      <c r="L157" s="4" t="n">
        <v>1</v>
      </c>
      <c r="M157" s="4" t="inlineStr">
        <is>
          <t>sin muestra</t>
        </is>
      </c>
      <c r="N157" s="4" t="inlineStr">
        <is>
          <t>no valorable</t>
        </is>
      </c>
      <c r="O157" s="4" t="inlineStr">
        <is>
          <t>ventana inicial sin histórico</t>
        </is>
      </c>
    </row>
    <row r="158">
      <c r="A158" s="4" t="inlineStr">
        <is>
          <t>MD-1504</t>
        </is>
      </c>
      <c r="B158" s="21" t="n">
        <v>45929</v>
      </c>
      <c r="C158" s="4" t="inlineStr">
        <is>
          <t>Ciudad Lineal</t>
        </is>
      </c>
      <c r="D158" s="4" t="n">
        <v>189</v>
      </c>
      <c r="E158" s="4" t="inlineStr">
        <is>
          <t>reformado</t>
        </is>
      </c>
      <c r="F158" s="22" t="n">
        <v>900000</v>
      </c>
      <c r="G158" s="23" t="n">
        <v>4761.9</v>
      </c>
      <c r="H158" s="22" t="n"/>
      <c r="I158" s="23" t="n"/>
      <c r="J158" s="18" t="n"/>
      <c r="K158" s="24" t="n"/>
      <c r="L158" s="4" t="n">
        <v>1</v>
      </c>
      <c r="M158" s="4" t="inlineStr">
        <is>
          <t>sin muestra</t>
        </is>
      </c>
      <c r="N158" s="4" t="inlineStr">
        <is>
          <t>no valorable</t>
        </is>
      </c>
      <c r="O158" s="4" t="inlineStr">
        <is>
          <t>ventana inicial sin histórico</t>
        </is>
      </c>
    </row>
    <row r="159">
      <c r="A159" s="4" t="inlineStr">
        <is>
          <t>MD-1835</t>
        </is>
      </c>
      <c r="B159" s="21" t="n">
        <v>45929</v>
      </c>
      <c r="C159" s="4" t="inlineStr">
        <is>
          <t>Chamberi</t>
        </is>
      </c>
      <c r="D159" s="4" t="n">
        <v>43</v>
      </c>
      <c r="E159" s="4" t="inlineStr">
        <is>
          <t>buen estado</t>
        </is>
      </c>
      <c r="F159" s="22" t="n">
        <v>258000</v>
      </c>
      <c r="G159" s="23" t="n">
        <v>6000</v>
      </c>
      <c r="H159" s="22" t="n"/>
      <c r="I159" s="23" t="n"/>
      <c r="J159" s="18" t="n"/>
      <c r="K159" s="24" t="n"/>
      <c r="L159" s="4" t="n">
        <v>0</v>
      </c>
      <c r="M159" s="4" t="inlineStr">
        <is>
          <t>sin muestra</t>
        </is>
      </c>
      <c r="N159" s="4" t="inlineStr">
        <is>
          <t>no valorable</t>
        </is>
      </c>
      <c r="O159" s="4" t="inlineStr">
        <is>
          <t>ventana inicial sin histórico</t>
        </is>
      </c>
    </row>
    <row r="160">
      <c r="A160" s="4" t="inlineStr">
        <is>
          <t>MD-0712</t>
        </is>
      </c>
      <c r="B160" s="21" t="n">
        <v>45929</v>
      </c>
      <c r="C160" s="4" t="inlineStr">
        <is>
          <t>Ciudad Lineal</t>
        </is>
      </c>
      <c r="D160" s="4" t="n">
        <v>177</v>
      </c>
      <c r="E160" s="4" t="inlineStr">
        <is>
          <t>buen estado</t>
        </is>
      </c>
      <c r="F160" s="22" t="n">
        <v>830000</v>
      </c>
      <c r="G160" s="23" t="n">
        <v>4689.27</v>
      </c>
      <c r="H160" s="22" t="n"/>
      <c r="I160" s="23" t="n"/>
      <c r="J160" s="18" t="n"/>
      <c r="K160" s="24" t="n"/>
      <c r="L160" s="4" t="n">
        <v>1</v>
      </c>
      <c r="M160" s="4" t="inlineStr">
        <is>
          <t>sin muestra</t>
        </is>
      </c>
      <c r="N160" s="4" t="inlineStr">
        <is>
          <t>no valorable</t>
        </is>
      </c>
      <c r="O160" s="4" t="inlineStr">
        <is>
          <t>ventana inicial sin histórico</t>
        </is>
      </c>
    </row>
    <row r="161">
      <c r="A161" s="4" t="inlineStr">
        <is>
          <t>MD-1795</t>
        </is>
      </c>
      <c r="B161" s="21" t="n">
        <v>45929</v>
      </c>
      <c r="C161" s="4" t="inlineStr">
        <is>
          <t>Puente de Vallecas</t>
        </is>
      </c>
      <c r="D161" s="4" t="n">
        <v>66</v>
      </c>
      <c r="E161" s="4" t="inlineStr">
        <is>
          <t>buen estado</t>
        </is>
      </c>
      <c r="F161" s="22" t="n">
        <v>186000</v>
      </c>
      <c r="G161" s="23" t="n">
        <v>2818.18</v>
      </c>
      <c r="H161" s="22" t="n">
        <v>180411</v>
      </c>
      <c r="I161" s="23" t="n">
        <v>2733.49</v>
      </c>
      <c r="J161" s="18" t="n">
        <v>0.031</v>
      </c>
      <c r="K161" s="24" t="n">
        <v>42.3</v>
      </c>
      <c r="L161" s="4" t="n">
        <v>10</v>
      </c>
      <c r="M161" s="4" t="inlineStr">
        <is>
          <t>media</t>
        </is>
      </c>
      <c r="N161" s="4" t="inlineStr">
        <is>
          <t>en linea con comparables</t>
        </is>
      </c>
      <c r="O161" s="4" t="n"/>
    </row>
    <row r="162">
      <c r="A162" s="4" t="inlineStr">
        <is>
          <t>MD-1218</t>
        </is>
      </c>
      <c r="B162" s="21" t="n">
        <v>45929</v>
      </c>
      <c r="C162" s="4" t="inlineStr">
        <is>
          <t>Latina</t>
        </is>
      </c>
      <c r="D162" s="4" t="n">
        <v>46</v>
      </c>
      <c r="E162" s="4" t="inlineStr">
        <is>
          <t>reformado</t>
        </is>
      </c>
      <c r="F162" s="22" t="n">
        <v>162000</v>
      </c>
      <c r="G162" s="23" t="n">
        <v>3521.74</v>
      </c>
      <c r="H162" s="22" t="n">
        <v>161690</v>
      </c>
      <c r="I162" s="23" t="n">
        <v>3515.01</v>
      </c>
      <c r="J162" s="18" t="n">
        <v>0.0019</v>
      </c>
      <c r="K162" s="24" t="n">
        <v>49.5</v>
      </c>
      <c r="L162" s="4" t="n">
        <v>6</v>
      </c>
      <c r="M162" s="4" t="inlineStr">
        <is>
          <t>baja</t>
        </is>
      </c>
      <c r="N162" s="4" t="inlineStr">
        <is>
          <t>en linea con comparables</t>
        </is>
      </c>
      <c r="O162" s="4" t="n"/>
    </row>
    <row r="163">
      <c r="A163" s="4" t="inlineStr">
        <is>
          <t>MD-1054</t>
        </is>
      </c>
      <c r="B163" s="21" t="n">
        <v>45929</v>
      </c>
      <c r="C163" s="4" t="inlineStr">
        <is>
          <t>Latina</t>
        </is>
      </c>
      <c r="D163" s="4" t="n">
        <v>28</v>
      </c>
      <c r="E163" s="4" t="inlineStr">
        <is>
          <t>reformado</t>
        </is>
      </c>
      <c r="F163" s="22" t="n">
        <v>90000</v>
      </c>
      <c r="G163" s="23" t="n">
        <v>3214.29</v>
      </c>
      <c r="H163" s="22" t="n"/>
      <c r="I163" s="23" t="n"/>
      <c r="J163" s="18" t="n"/>
      <c r="K163" s="24" t="n"/>
      <c r="L163" s="4" t="n">
        <v>0</v>
      </c>
      <c r="M163" s="4" t="inlineStr">
        <is>
          <t>sin muestra</t>
        </is>
      </c>
      <c r="N163" s="4" t="inlineStr">
        <is>
          <t>no valorable</t>
        </is>
      </c>
      <c r="O163" s="4" t="inlineStr">
        <is>
          <t>ventana inicial sin histórico</t>
        </is>
      </c>
    </row>
    <row r="164">
      <c r="A164" s="4" t="inlineStr">
        <is>
          <t>MD-0115</t>
        </is>
      </c>
      <c r="B164" s="21" t="n">
        <v>45929</v>
      </c>
      <c r="C164" s="4" t="inlineStr">
        <is>
          <t>Ciudad Lineal</t>
        </is>
      </c>
      <c r="D164" s="4" t="n">
        <v>50</v>
      </c>
      <c r="E164" s="4" t="inlineStr">
        <is>
          <t>a reformar</t>
        </is>
      </c>
      <c r="F164" s="22" t="n">
        <v>181000</v>
      </c>
      <c r="G164" s="23" t="n">
        <v>3620</v>
      </c>
      <c r="H164" s="22" t="n"/>
      <c r="I164" s="23" t="n"/>
      <c r="J164" s="18" t="n"/>
      <c r="K164" s="24" t="n"/>
      <c r="L164" s="4" t="n">
        <v>2</v>
      </c>
      <c r="M164" s="4" t="inlineStr">
        <is>
          <t>sin muestra</t>
        </is>
      </c>
      <c r="N164" s="4" t="inlineStr">
        <is>
          <t>no valorable</t>
        </is>
      </c>
      <c r="O164" s="4" t="inlineStr">
        <is>
          <t>ventana inicial sin histórico</t>
        </is>
      </c>
    </row>
    <row r="165">
      <c r="A165" s="4" t="inlineStr">
        <is>
          <t>MD-1383</t>
        </is>
      </c>
      <c r="B165" s="21" t="n">
        <v>45929</v>
      </c>
      <c r="C165" s="4" t="inlineStr">
        <is>
          <t>Ciudad Lineal</t>
        </is>
      </c>
      <c r="D165" s="4" t="n">
        <v>47</v>
      </c>
      <c r="E165" s="4" t="inlineStr">
        <is>
          <t>buen estado</t>
        </is>
      </c>
      <c r="F165" s="22" t="n">
        <v>229000</v>
      </c>
      <c r="G165" s="23" t="n">
        <v>4872.34</v>
      </c>
      <c r="H165" s="22" t="n"/>
      <c r="I165" s="23" t="n"/>
      <c r="J165" s="18" t="n"/>
      <c r="K165" s="24" t="n"/>
      <c r="L165" s="4" t="n">
        <v>1</v>
      </c>
      <c r="M165" s="4" t="inlineStr">
        <is>
          <t>sin muestra</t>
        </is>
      </c>
      <c r="N165" s="4" t="inlineStr">
        <is>
          <t>no valorable</t>
        </is>
      </c>
      <c r="O165" s="4" t="inlineStr">
        <is>
          <t>ventana inicial sin histórico</t>
        </is>
      </c>
    </row>
    <row r="166">
      <c r="A166" s="4" t="inlineStr">
        <is>
          <t>MD-0284</t>
        </is>
      </c>
      <c r="B166" s="21" t="n">
        <v>45929</v>
      </c>
      <c r="C166" s="4" t="inlineStr">
        <is>
          <t>Latina</t>
        </is>
      </c>
      <c r="D166" s="4" t="n">
        <v>70</v>
      </c>
      <c r="E166" s="4" t="inlineStr">
        <is>
          <t>a reformar</t>
        </is>
      </c>
      <c r="F166" s="22" t="n">
        <v>132000</v>
      </c>
      <c r="G166" s="23" t="n">
        <v>1885.71</v>
      </c>
      <c r="H166" s="22" t="n">
        <v>221974</v>
      </c>
      <c r="I166" s="23" t="n">
        <v>3171.05</v>
      </c>
      <c r="J166" s="18" t="n">
        <v>-0.4053</v>
      </c>
      <c r="K166" s="24" t="n">
        <v>100</v>
      </c>
      <c r="L166" s="4" t="n">
        <v>7</v>
      </c>
      <c r="M166" s="4" t="inlineStr">
        <is>
          <t>baja</t>
        </is>
      </c>
      <c r="N166" s="4" t="inlineStr">
        <is>
          <t>por debajo de comparables</t>
        </is>
      </c>
      <c r="O166" s="4" t="n"/>
    </row>
    <row r="167">
      <c r="A167" s="4" t="inlineStr">
        <is>
          <t>MD-1997</t>
        </is>
      </c>
      <c r="B167" s="21" t="n">
        <v>45930</v>
      </c>
      <c r="C167" s="4" t="inlineStr">
        <is>
          <t>Ciudad Lineal</t>
        </is>
      </c>
      <c r="D167" s="4" t="n">
        <v>64</v>
      </c>
      <c r="E167" s="4" t="inlineStr">
        <is>
          <t>buen estado</t>
        </is>
      </c>
      <c r="F167" s="22" t="n">
        <v>377000</v>
      </c>
      <c r="G167" s="23" t="n">
        <v>5890.62</v>
      </c>
      <c r="H167" s="22" t="n"/>
      <c r="I167" s="23" t="n"/>
      <c r="J167" s="18" t="n"/>
      <c r="K167" s="24" t="n"/>
      <c r="L167" s="4" t="n">
        <v>2</v>
      </c>
      <c r="M167" s="4" t="inlineStr">
        <is>
          <t>sin muestra</t>
        </is>
      </c>
      <c r="N167" s="4" t="inlineStr">
        <is>
          <t>no valorable</t>
        </is>
      </c>
      <c r="O167" s="4" t="inlineStr">
        <is>
          <t>ventana inicial sin histórico</t>
        </is>
      </c>
    </row>
    <row r="168">
      <c r="A168" s="4" t="inlineStr">
        <is>
          <t>MD-0650</t>
        </is>
      </c>
      <c r="B168" s="21" t="n">
        <v>45930</v>
      </c>
      <c r="C168" s="4" t="inlineStr">
        <is>
          <t>Arganzuela</t>
        </is>
      </c>
      <c r="D168" s="4" t="n">
        <v>42</v>
      </c>
      <c r="E168" s="4" t="inlineStr">
        <is>
          <t>a reformar</t>
        </is>
      </c>
      <c r="F168" s="22" t="n">
        <v>220000</v>
      </c>
      <c r="G168" s="23" t="n">
        <v>5238.1</v>
      </c>
      <c r="H168" s="22" t="n"/>
      <c r="I168" s="23" t="n"/>
      <c r="J168" s="18" t="n"/>
      <c r="K168" s="24" t="n"/>
      <c r="L168" s="4" t="n">
        <v>0</v>
      </c>
      <c r="M168" s="4" t="inlineStr">
        <is>
          <t>sin muestra</t>
        </is>
      </c>
      <c r="N168" s="4" t="inlineStr">
        <is>
          <t>no valorable</t>
        </is>
      </c>
      <c r="O168" s="4" t="inlineStr">
        <is>
          <t>ventana inicial sin histórico</t>
        </is>
      </c>
    </row>
    <row r="169">
      <c r="A169" s="4" t="inlineStr">
        <is>
          <t>MD-0469</t>
        </is>
      </c>
      <c r="B169" s="21" t="n">
        <v>45930</v>
      </c>
      <c r="C169" s="4" t="inlineStr">
        <is>
          <t>Fuencarral-El Pardo</t>
        </is>
      </c>
      <c r="D169" s="4" t="n">
        <v>110</v>
      </c>
      <c r="E169" s="4" t="inlineStr">
        <is>
          <t>buen estado</t>
        </is>
      </c>
      <c r="F169" s="22" t="n">
        <v>703000</v>
      </c>
      <c r="G169" s="23" t="n">
        <v>6390.91</v>
      </c>
      <c r="H169" s="22" t="n"/>
      <c r="I169" s="23" t="n"/>
      <c r="J169" s="18" t="n"/>
      <c r="K169" s="24" t="n"/>
      <c r="L169" s="4" t="n">
        <v>2</v>
      </c>
      <c r="M169" s="4" t="inlineStr">
        <is>
          <t>sin muestra</t>
        </is>
      </c>
      <c r="N169" s="4" t="inlineStr">
        <is>
          <t>no valorable</t>
        </is>
      </c>
      <c r="O169" s="4" t="inlineStr">
        <is>
          <t>ventana inicial sin histórico</t>
        </is>
      </c>
    </row>
    <row r="170">
      <c r="A170" s="4" t="inlineStr">
        <is>
          <t>MD-1642</t>
        </is>
      </c>
      <c r="B170" s="21" t="n">
        <v>45930</v>
      </c>
      <c r="C170" s="4" t="inlineStr">
        <is>
          <t>Barajas</t>
        </is>
      </c>
      <c r="D170" s="4" t="n">
        <v>96</v>
      </c>
      <c r="E170" s="4" t="inlineStr">
        <is>
          <t>a reformar</t>
        </is>
      </c>
      <c r="F170" s="22" t="n">
        <v>307000</v>
      </c>
      <c r="G170" s="23" t="n">
        <v>3197.92</v>
      </c>
      <c r="H170" s="22" t="n"/>
      <c r="I170" s="23" t="n"/>
      <c r="J170" s="18" t="n"/>
      <c r="K170" s="24" t="n"/>
      <c r="L170" s="4" t="n">
        <v>1</v>
      </c>
      <c r="M170" s="4" t="inlineStr">
        <is>
          <t>sin muestra</t>
        </is>
      </c>
      <c r="N170" s="4" t="inlineStr">
        <is>
          <t>no valorable</t>
        </is>
      </c>
      <c r="O170" s="4" t="inlineStr">
        <is>
          <t>ventana inicial sin histórico</t>
        </is>
      </c>
    </row>
    <row r="171">
      <c r="A171" s="4" t="inlineStr">
        <is>
          <t>MD-1881</t>
        </is>
      </c>
      <c r="B171" s="21" t="n">
        <v>45930</v>
      </c>
      <c r="C171" s="4" t="inlineStr">
        <is>
          <t>Latina</t>
        </is>
      </c>
      <c r="D171" s="4" t="n">
        <v>77</v>
      </c>
      <c r="E171" s="4" t="inlineStr">
        <is>
          <t>buen estado</t>
        </is>
      </c>
      <c r="F171" s="22" t="n">
        <v>326000</v>
      </c>
      <c r="G171" s="23" t="n">
        <v>4233.77</v>
      </c>
      <c r="H171" s="22" t="n">
        <v>225651</v>
      </c>
      <c r="I171" s="23" t="n">
        <v>2930.53</v>
      </c>
      <c r="J171" s="18" t="n">
        <v>0.4447</v>
      </c>
      <c r="K171" s="24" t="n">
        <v>0</v>
      </c>
      <c r="L171" s="4" t="n">
        <v>8</v>
      </c>
      <c r="M171" s="4" t="inlineStr">
        <is>
          <t>media</t>
        </is>
      </c>
      <c r="N171" s="4" t="inlineStr">
        <is>
          <t>por encima de comparables</t>
        </is>
      </c>
      <c r="O171" s="4" t="n"/>
    </row>
    <row r="172">
      <c r="A172" s="4" t="inlineStr">
        <is>
          <t>MD-0708</t>
        </is>
      </c>
      <c r="B172" s="21" t="n">
        <v>45930</v>
      </c>
      <c r="C172" s="4" t="inlineStr">
        <is>
          <t>Chamartin</t>
        </is>
      </c>
      <c r="D172" s="4" t="n">
        <v>186</v>
      </c>
      <c r="E172" s="4" t="inlineStr">
        <is>
          <t>a reformar</t>
        </is>
      </c>
      <c r="F172" s="22" t="n">
        <v>1373000</v>
      </c>
      <c r="G172" s="23" t="n">
        <v>7381.72</v>
      </c>
      <c r="H172" s="22" t="n"/>
      <c r="I172" s="23" t="n"/>
      <c r="J172" s="18" t="n"/>
      <c r="K172" s="24" t="n"/>
      <c r="L172" s="4" t="n">
        <v>3</v>
      </c>
      <c r="M172" s="4" t="inlineStr">
        <is>
          <t>sin muestra</t>
        </is>
      </c>
      <c r="N172" s="4" t="inlineStr">
        <is>
          <t>no valorable</t>
        </is>
      </c>
      <c r="O172" s="4" t="inlineStr">
        <is>
          <t>ventana inicial sin histórico</t>
        </is>
      </c>
    </row>
    <row r="173">
      <c r="A173" s="4" t="inlineStr">
        <is>
          <t>MD-0460</t>
        </is>
      </c>
      <c r="B173" s="21" t="n">
        <v>45931</v>
      </c>
      <c r="C173" s="4" t="inlineStr">
        <is>
          <t>Carabanchel</t>
        </is>
      </c>
      <c r="D173" s="4" t="n">
        <v>80</v>
      </c>
      <c r="E173" s="4" t="inlineStr">
        <is>
          <t>obra nueva</t>
        </is>
      </c>
      <c r="F173" s="22" t="n">
        <v>331000</v>
      </c>
      <c r="G173" s="23" t="n">
        <v>4137.5</v>
      </c>
      <c r="H173" s="22" t="n"/>
      <c r="I173" s="23" t="n"/>
      <c r="J173" s="18" t="n"/>
      <c r="K173" s="24" t="n"/>
      <c r="L173" s="4" t="n">
        <v>3</v>
      </c>
      <c r="M173" s="4" t="inlineStr">
        <is>
          <t>sin muestra</t>
        </is>
      </c>
      <c r="N173" s="4" t="inlineStr">
        <is>
          <t>no valorable</t>
        </is>
      </c>
      <c r="O173" s="4" t="inlineStr">
        <is>
          <t>ventana inicial sin histórico</t>
        </is>
      </c>
    </row>
    <row r="174">
      <c r="A174" s="4" t="inlineStr">
        <is>
          <t>MD-1229</t>
        </is>
      </c>
      <c r="B174" s="21" t="n">
        <v>45931</v>
      </c>
      <c r="C174" s="4" t="inlineStr">
        <is>
          <t>Retiro</t>
        </is>
      </c>
      <c r="D174" s="4" t="n">
        <v>87</v>
      </c>
      <c r="E174" s="4" t="inlineStr">
        <is>
          <t>buen estado</t>
        </is>
      </c>
      <c r="F174" s="22" t="n">
        <v>582000</v>
      </c>
      <c r="G174" s="23" t="n">
        <v>6689.66</v>
      </c>
      <c r="H174" s="22" t="n"/>
      <c r="I174" s="23" t="n"/>
      <c r="J174" s="18" t="n"/>
      <c r="K174" s="24" t="n"/>
      <c r="L174" s="4" t="n">
        <v>3</v>
      </c>
      <c r="M174" s="4" t="inlineStr">
        <is>
          <t>sin muestra</t>
        </is>
      </c>
      <c r="N174" s="4" t="inlineStr">
        <is>
          <t>no valorable</t>
        </is>
      </c>
      <c r="O174" s="4" t="inlineStr">
        <is>
          <t>ventana inicial sin histórico</t>
        </is>
      </c>
    </row>
    <row r="175">
      <c r="A175" s="4" t="inlineStr">
        <is>
          <t>MD-1089</t>
        </is>
      </c>
      <c r="B175" s="21" t="n">
        <v>45931</v>
      </c>
      <c r="C175" s="4" t="inlineStr">
        <is>
          <t>Puente de Vallecas</t>
        </is>
      </c>
      <c r="D175" s="4" t="n">
        <v>77</v>
      </c>
      <c r="E175" s="4" t="inlineStr">
        <is>
          <t>a reformar</t>
        </is>
      </c>
      <c r="F175" s="22" t="n">
        <v>189000</v>
      </c>
      <c r="G175" s="23" t="n">
        <v>2454.55</v>
      </c>
      <c r="H175" s="22" t="n">
        <v>171872</v>
      </c>
      <c r="I175" s="23" t="n">
        <v>2232.1</v>
      </c>
      <c r="J175" s="18" t="n">
        <v>0.0997</v>
      </c>
      <c r="K175" s="24" t="n">
        <v>25.1</v>
      </c>
      <c r="L175" s="4" t="n">
        <v>8</v>
      </c>
      <c r="M175" s="4" t="inlineStr">
        <is>
          <t>media</t>
        </is>
      </c>
      <c r="N175" s="4" t="inlineStr">
        <is>
          <t>en linea con comparables</t>
        </is>
      </c>
      <c r="O175" s="4" t="n"/>
    </row>
    <row r="176">
      <c r="A176" s="4" t="inlineStr">
        <is>
          <t>MD-1743</t>
        </is>
      </c>
      <c r="B176" s="21" t="n">
        <v>45932</v>
      </c>
      <c r="C176" s="4" t="inlineStr">
        <is>
          <t>Fuencarral-El Pardo</t>
        </is>
      </c>
      <c r="D176" s="4" t="n">
        <v>46</v>
      </c>
      <c r="E176" s="4" t="inlineStr">
        <is>
          <t>buen estado</t>
        </is>
      </c>
      <c r="F176" s="22" t="n">
        <v>267000</v>
      </c>
      <c r="G176" s="23" t="n">
        <v>5804.35</v>
      </c>
      <c r="H176" s="22" t="n"/>
      <c r="I176" s="23" t="n"/>
      <c r="J176" s="18" t="n"/>
      <c r="K176" s="24" t="n"/>
      <c r="L176" s="4" t="n">
        <v>4</v>
      </c>
      <c r="M176" s="4" t="inlineStr">
        <is>
          <t>sin muestra</t>
        </is>
      </c>
      <c r="N176" s="4" t="inlineStr">
        <is>
          <t>no valorable</t>
        </is>
      </c>
      <c r="O176" s="4" t="inlineStr">
        <is>
          <t>ventana inicial sin histórico</t>
        </is>
      </c>
    </row>
    <row r="177">
      <c r="A177" s="4" t="inlineStr">
        <is>
          <t>MD-1384</t>
        </is>
      </c>
      <c r="B177" s="21" t="n">
        <v>45932</v>
      </c>
      <c r="C177" s="4" t="inlineStr">
        <is>
          <t>Puente de Vallecas</t>
        </is>
      </c>
      <c r="D177" s="4" t="n">
        <v>52</v>
      </c>
      <c r="E177" s="4" t="inlineStr">
        <is>
          <t>obra nueva</t>
        </is>
      </c>
      <c r="F177" s="22" t="n">
        <v>130000</v>
      </c>
      <c r="G177" s="23" t="n">
        <v>2500</v>
      </c>
      <c r="H177" s="22" t="n">
        <v>189620</v>
      </c>
      <c r="I177" s="23" t="n">
        <v>3646.53</v>
      </c>
      <c r="J177" s="18" t="n">
        <v>-0.3144</v>
      </c>
      <c r="K177" s="24" t="n">
        <v>100</v>
      </c>
      <c r="L177" s="4" t="n">
        <v>9</v>
      </c>
      <c r="M177" s="4" t="inlineStr">
        <is>
          <t>media</t>
        </is>
      </c>
      <c r="N177" s="4" t="inlineStr">
        <is>
          <t>por debajo de comparables</t>
        </is>
      </c>
      <c r="O177" s="4" t="n"/>
    </row>
    <row r="178">
      <c r="A178" s="4" t="inlineStr">
        <is>
          <t>MD-1131</t>
        </is>
      </c>
      <c r="B178" s="21" t="n">
        <v>45932</v>
      </c>
      <c r="C178" s="4" t="inlineStr">
        <is>
          <t>Carabanchel</t>
        </is>
      </c>
      <c r="D178" s="4" t="n">
        <v>51</v>
      </c>
      <c r="E178" s="4" t="inlineStr">
        <is>
          <t>buen estado</t>
        </is>
      </c>
      <c r="F178" s="22" t="n">
        <v>169000</v>
      </c>
      <c r="G178" s="23" t="n">
        <v>3313.73</v>
      </c>
      <c r="H178" s="22" t="n"/>
      <c r="I178" s="23" t="n"/>
      <c r="J178" s="18" t="n"/>
      <c r="K178" s="24" t="n"/>
      <c r="L178" s="4" t="n">
        <v>2</v>
      </c>
      <c r="M178" s="4" t="inlineStr">
        <is>
          <t>sin muestra</t>
        </is>
      </c>
      <c r="N178" s="4" t="inlineStr">
        <is>
          <t>no valorable</t>
        </is>
      </c>
      <c r="O178" s="4" t="inlineStr">
        <is>
          <t>ventana inicial sin histórico</t>
        </is>
      </c>
    </row>
    <row r="179">
      <c r="A179" s="4" t="inlineStr">
        <is>
          <t>MD-0663</t>
        </is>
      </c>
      <c r="B179" s="21" t="n">
        <v>45932</v>
      </c>
      <c r="C179" s="4" t="inlineStr">
        <is>
          <t>Latina</t>
        </is>
      </c>
      <c r="D179" s="4" t="n">
        <v>64</v>
      </c>
      <c r="E179" s="4" t="inlineStr">
        <is>
          <t>buen estado</t>
        </is>
      </c>
      <c r="F179" s="22" t="n">
        <v>178000</v>
      </c>
      <c r="G179" s="23" t="n">
        <v>2781.25</v>
      </c>
      <c r="H179" s="22" t="n">
        <v>206265</v>
      </c>
      <c r="I179" s="23" t="n">
        <v>3222.89</v>
      </c>
      <c r="J179" s="18" t="n">
        <v>-0.137</v>
      </c>
      <c r="K179" s="24" t="n">
        <v>84.3</v>
      </c>
      <c r="L179" s="4" t="n">
        <v>7</v>
      </c>
      <c r="M179" s="4" t="inlineStr">
        <is>
          <t>baja</t>
        </is>
      </c>
      <c r="N179" s="4" t="inlineStr">
        <is>
          <t>por debajo de comparables</t>
        </is>
      </c>
      <c r="O179" s="4" t="n"/>
    </row>
    <row r="180">
      <c r="A180" s="4" t="inlineStr">
        <is>
          <t>MD-0032</t>
        </is>
      </c>
      <c r="B180" s="21" t="n">
        <v>45932</v>
      </c>
      <c r="C180" s="4" t="inlineStr">
        <is>
          <t>Villaverde</t>
        </is>
      </c>
      <c r="D180" s="4" t="n">
        <v>123</v>
      </c>
      <c r="E180" s="4" t="inlineStr">
        <is>
          <t>buen estado</t>
        </is>
      </c>
      <c r="F180" s="22" t="n">
        <v>353000</v>
      </c>
      <c r="G180" s="23" t="n">
        <v>2869.92</v>
      </c>
      <c r="H180" s="22" t="n"/>
      <c r="I180" s="23" t="n"/>
      <c r="J180" s="18" t="n"/>
      <c r="K180" s="24" t="n"/>
      <c r="L180" s="4" t="n">
        <v>0</v>
      </c>
      <c r="M180" s="4" t="inlineStr">
        <is>
          <t>sin muestra</t>
        </is>
      </c>
      <c r="N180" s="4" t="inlineStr">
        <is>
          <t>no valorable</t>
        </is>
      </c>
      <c r="O180" s="4" t="inlineStr">
        <is>
          <t>ventana inicial sin histórico</t>
        </is>
      </c>
    </row>
    <row r="181">
      <c r="A181" s="4" t="inlineStr">
        <is>
          <t>MD-1975</t>
        </is>
      </c>
      <c r="B181" s="21" t="n">
        <v>45932</v>
      </c>
      <c r="C181" s="4" t="inlineStr">
        <is>
          <t>Carabanchel</t>
        </is>
      </c>
      <c r="D181" s="4" t="n">
        <v>41</v>
      </c>
      <c r="E181" s="4" t="inlineStr">
        <is>
          <t>buen estado</t>
        </is>
      </c>
      <c r="F181" s="22" t="n">
        <v>115000</v>
      </c>
      <c r="G181" s="23" t="n">
        <v>2804.88</v>
      </c>
      <c r="H181" s="22" t="n"/>
      <c r="I181" s="23" t="n"/>
      <c r="J181" s="18" t="n"/>
      <c r="K181" s="24" t="n"/>
      <c r="L181" s="4" t="n">
        <v>0</v>
      </c>
      <c r="M181" s="4" t="inlineStr">
        <is>
          <t>sin muestra</t>
        </is>
      </c>
      <c r="N181" s="4" t="inlineStr">
        <is>
          <t>no valorable</t>
        </is>
      </c>
      <c r="O181" s="4" t="inlineStr">
        <is>
          <t>ventana inicial sin histórico</t>
        </is>
      </c>
    </row>
    <row r="182">
      <c r="A182" s="4" t="inlineStr">
        <is>
          <t>MD-1828</t>
        </is>
      </c>
      <c r="B182" s="21" t="n">
        <v>45933</v>
      </c>
      <c r="C182" s="4" t="inlineStr">
        <is>
          <t>Vicalvaro</t>
        </is>
      </c>
      <c r="D182" s="4" t="n">
        <v>182</v>
      </c>
      <c r="E182" s="4" t="inlineStr">
        <is>
          <t>reformado</t>
        </is>
      </c>
      <c r="F182" s="22" t="n">
        <v>777000</v>
      </c>
      <c r="G182" s="23" t="n">
        <v>4269.23</v>
      </c>
      <c r="H182" s="22" t="n"/>
      <c r="I182" s="23" t="n"/>
      <c r="J182" s="18" t="n"/>
      <c r="K182" s="24" t="n"/>
      <c r="L182" s="4" t="n">
        <v>2</v>
      </c>
      <c r="M182" s="4" t="inlineStr">
        <is>
          <t>sin muestra</t>
        </is>
      </c>
      <c r="N182" s="4" t="inlineStr">
        <is>
          <t>no valorable</t>
        </is>
      </c>
      <c r="O182" s="4" t="inlineStr">
        <is>
          <t>ventana inicial sin histórico</t>
        </is>
      </c>
    </row>
    <row r="183">
      <c r="A183" s="4" t="inlineStr">
        <is>
          <t>MD-1002</t>
        </is>
      </c>
      <c r="B183" s="21" t="n">
        <v>45933</v>
      </c>
      <c r="C183" s="4" t="inlineStr">
        <is>
          <t>Retiro</t>
        </is>
      </c>
      <c r="D183" s="4" t="n">
        <v>54</v>
      </c>
      <c r="E183" s="4" t="inlineStr">
        <is>
          <t>reformado</t>
        </is>
      </c>
      <c r="F183" s="22" t="n">
        <v>416000</v>
      </c>
      <c r="G183" s="23" t="n">
        <v>7703.7</v>
      </c>
      <c r="H183" s="22" t="n"/>
      <c r="I183" s="23" t="n"/>
      <c r="J183" s="18" t="n"/>
      <c r="K183" s="24" t="n"/>
      <c r="L183" s="4" t="n">
        <v>1</v>
      </c>
      <c r="M183" s="4" t="inlineStr">
        <is>
          <t>sin muestra</t>
        </is>
      </c>
      <c r="N183" s="4" t="inlineStr">
        <is>
          <t>no valorable</t>
        </is>
      </c>
      <c r="O183" s="4" t="inlineStr">
        <is>
          <t>ventana inicial sin histórico</t>
        </is>
      </c>
    </row>
    <row r="184">
      <c r="A184" s="4" t="inlineStr">
        <is>
          <t>MD-0968</t>
        </is>
      </c>
      <c r="B184" s="21" t="n">
        <v>45934</v>
      </c>
      <c r="C184" s="4" t="inlineStr">
        <is>
          <t>Chamartin</t>
        </is>
      </c>
      <c r="D184" s="4" t="n">
        <v>174</v>
      </c>
      <c r="E184" s="4" t="inlineStr">
        <is>
          <t>a reformar</t>
        </is>
      </c>
      <c r="F184" s="22" t="n">
        <v>1137000</v>
      </c>
      <c r="G184" s="23" t="n">
        <v>6534.48</v>
      </c>
      <c r="H184" s="22" t="n"/>
      <c r="I184" s="23" t="n"/>
      <c r="J184" s="18" t="n"/>
      <c r="K184" s="24" t="n"/>
      <c r="L184" s="4" t="n">
        <v>4</v>
      </c>
      <c r="M184" s="4" t="inlineStr">
        <is>
          <t>sin muestra</t>
        </is>
      </c>
      <c r="N184" s="4" t="inlineStr">
        <is>
          <t>no valorable</t>
        </is>
      </c>
      <c r="O184" s="4" t="inlineStr">
        <is>
          <t>ventana inicial sin histórico</t>
        </is>
      </c>
    </row>
    <row r="185">
      <c r="A185" s="4" t="inlineStr">
        <is>
          <t>MD-0213</t>
        </is>
      </c>
      <c r="B185" s="21" t="n">
        <v>45934</v>
      </c>
      <c r="C185" s="4" t="inlineStr">
        <is>
          <t>Fuencarral-El Pardo</t>
        </is>
      </c>
      <c r="D185" s="4" t="n">
        <v>89</v>
      </c>
      <c r="E185" s="4" t="inlineStr">
        <is>
          <t>reformado</t>
        </is>
      </c>
      <c r="F185" s="22" t="n">
        <v>512000</v>
      </c>
      <c r="G185" s="23" t="n">
        <v>5752.81</v>
      </c>
      <c r="H185" s="22" t="n"/>
      <c r="I185" s="23" t="n"/>
      <c r="J185" s="18" t="n"/>
      <c r="K185" s="24" t="n"/>
      <c r="L185" s="4" t="n">
        <v>4</v>
      </c>
      <c r="M185" s="4" t="inlineStr">
        <is>
          <t>sin muestra</t>
        </is>
      </c>
      <c r="N185" s="4" t="inlineStr">
        <is>
          <t>no valorable</t>
        </is>
      </c>
      <c r="O185" s="4" t="inlineStr">
        <is>
          <t>ventana inicial sin histórico</t>
        </is>
      </c>
    </row>
    <row r="186">
      <c r="A186" s="4" t="inlineStr">
        <is>
          <t>MD-1197</t>
        </is>
      </c>
      <c r="B186" s="21" t="n">
        <v>45934</v>
      </c>
      <c r="C186" s="4" t="inlineStr">
        <is>
          <t>Puente de Vallecas</t>
        </is>
      </c>
      <c r="D186" s="4" t="n">
        <v>161</v>
      </c>
      <c r="E186" s="4" t="inlineStr">
        <is>
          <t>obra nueva</t>
        </is>
      </c>
      <c r="F186" s="22" t="n">
        <v>474000</v>
      </c>
      <c r="G186" s="23" t="n">
        <v>2944.1</v>
      </c>
      <c r="H186" s="22" t="n"/>
      <c r="I186" s="23" t="n"/>
      <c r="J186" s="18" t="n"/>
      <c r="K186" s="24" t="n"/>
      <c r="L186" s="4" t="n">
        <v>0</v>
      </c>
      <c r="M186" s="4" t="inlineStr">
        <is>
          <t>sin muestra</t>
        </is>
      </c>
      <c r="N186" s="4" t="inlineStr">
        <is>
          <t>no valorable</t>
        </is>
      </c>
      <c r="O186" s="4" t="inlineStr">
        <is>
          <t>ventana inicial sin histórico</t>
        </is>
      </c>
    </row>
    <row r="187">
      <c r="A187" s="4" t="inlineStr">
        <is>
          <t>MD-0501</t>
        </is>
      </c>
      <c r="B187" s="21" t="n">
        <v>45934</v>
      </c>
      <c r="C187" s="4" t="inlineStr">
        <is>
          <t>Latina</t>
        </is>
      </c>
      <c r="D187" s="4" t="n">
        <v>65</v>
      </c>
      <c r="E187" s="4" t="inlineStr">
        <is>
          <t>buen estado</t>
        </is>
      </c>
      <c r="F187" s="22" t="n">
        <v>154000</v>
      </c>
      <c r="G187" s="23" t="n">
        <v>2369.23</v>
      </c>
      <c r="H187" s="22" t="n">
        <v>209488</v>
      </c>
      <c r="I187" s="23" t="n">
        <v>3222.89</v>
      </c>
      <c r="J187" s="18" t="n">
        <v>-0.2649</v>
      </c>
      <c r="K187" s="24" t="n">
        <v>100</v>
      </c>
      <c r="L187" s="4" t="n">
        <v>9</v>
      </c>
      <c r="M187" s="4" t="inlineStr">
        <is>
          <t>media</t>
        </is>
      </c>
      <c r="N187" s="4" t="inlineStr">
        <is>
          <t>por debajo de comparables</t>
        </is>
      </c>
      <c r="O187" s="4" t="n"/>
    </row>
    <row r="188">
      <c r="A188" s="4" t="inlineStr">
        <is>
          <t>MD-0718</t>
        </is>
      </c>
      <c r="B188" s="21" t="n">
        <v>45934</v>
      </c>
      <c r="C188" s="4" t="inlineStr">
        <is>
          <t>Vicalvaro</t>
        </is>
      </c>
      <c r="D188" s="4" t="n">
        <v>41</v>
      </c>
      <c r="E188" s="4" t="inlineStr">
        <is>
          <t>reformado</t>
        </is>
      </c>
      <c r="F188" s="22" t="n">
        <v>174000</v>
      </c>
      <c r="G188" s="23" t="n">
        <v>4243.9</v>
      </c>
      <c r="H188" s="22" t="n"/>
      <c r="I188" s="23" t="n"/>
      <c r="J188" s="18" t="n"/>
      <c r="K188" s="24" t="n"/>
      <c r="L188" s="4" t="n">
        <v>0</v>
      </c>
      <c r="M188" s="4" t="inlineStr">
        <is>
          <t>sin muestra</t>
        </is>
      </c>
      <c r="N188" s="4" t="inlineStr">
        <is>
          <t>no valorable</t>
        </is>
      </c>
      <c r="O188" s="4" t="inlineStr">
        <is>
          <t>ventana inicial sin histórico</t>
        </is>
      </c>
    </row>
    <row r="189">
      <c r="A189" s="4" t="inlineStr">
        <is>
          <t>MD-0097</t>
        </is>
      </c>
      <c r="B189" s="21" t="n">
        <v>45934</v>
      </c>
      <c r="C189" s="4" t="inlineStr">
        <is>
          <t>Tetuan</t>
        </is>
      </c>
      <c r="D189" s="4" t="n">
        <v>80</v>
      </c>
      <c r="E189" s="4" t="inlineStr">
        <is>
          <t>reformado</t>
        </is>
      </c>
      <c r="F189" s="22" t="n">
        <v>490000</v>
      </c>
      <c r="G189" s="23" t="n">
        <v>6125</v>
      </c>
      <c r="H189" s="22" t="n"/>
      <c r="I189" s="23" t="n"/>
      <c r="J189" s="18" t="n"/>
      <c r="K189" s="24" t="n"/>
      <c r="L189" s="4" t="n">
        <v>3</v>
      </c>
      <c r="M189" s="4" t="inlineStr">
        <is>
          <t>sin muestra</t>
        </is>
      </c>
      <c r="N189" s="4" t="inlineStr">
        <is>
          <t>no valorable</t>
        </is>
      </c>
      <c r="O189" s="4" t="inlineStr">
        <is>
          <t>ventana inicial sin histórico</t>
        </is>
      </c>
    </row>
    <row r="190">
      <c r="A190" s="4" t="inlineStr">
        <is>
          <t>MD-1201</t>
        </is>
      </c>
      <c r="B190" s="21" t="n">
        <v>45935</v>
      </c>
      <c r="C190" s="4" t="inlineStr">
        <is>
          <t>Arganzuela</t>
        </is>
      </c>
      <c r="D190" s="4" t="n">
        <v>104</v>
      </c>
      <c r="E190" s="4" t="inlineStr">
        <is>
          <t>reformado</t>
        </is>
      </c>
      <c r="F190" s="22" t="n">
        <v>602000</v>
      </c>
      <c r="G190" s="23" t="n">
        <v>5788.46</v>
      </c>
      <c r="H190" s="22" t="n"/>
      <c r="I190" s="23" t="n"/>
      <c r="J190" s="18" t="n"/>
      <c r="K190" s="24" t="n"/>
      <c r="L190" s="4" t="n">
        <v>2</v>
      </c>
      <c r="M190" s="4" t="inlineStr">
        <is>
          <t>sin muestra</t>
        </is>
      </c>
      <c r="N190" s="4" t="inlineStr">
        <is>
          <t>no valorable</t>
        </is>
      </c>
      <c r="O190" s="4" t="inlineStr">
        <is>
          <t>ventana inicial sin histórico</t>
        </is>
      </c>
    </row>
    <row r="191">
      <c r="A191" s="4" t="inlineStr">
        <is>
          <t>MD-0500</t>
        </is>
      </c>
      <c r="B191" s="21" t="n">
        <v>45935</v>
      </c>
      <c r="C191" s="4" t="inlineStr">
        <is>
          <t>Carabanchel</t>
        </is>
      </c>
      <c r="D191" s="4" t="n">
        <v>93</v>
      </c>
      <c r="E191" s="4" t="inlineStr">
        <is>
          <t>buen estado</t>
        </is>
      </c>
      <c r="F191" s="22" t="n">
        <v>317000</v>
      </c>
      <c r="G191" s="23" t="n">
        <v>3408.6</v>
      </c>
      <c r="H191" s="22" t="n">
        <v>311829</v>
      </c>
      <c r="I191" s="23" t="n">
        <v>3353</v>
      </c>
      <c r="J191" s="18" t="n">
        <v>0.0166</v>
      </c>
      <c r="K191" s="24" t="n">
        <v>45.9</v>
      </c>
      <c r="L191" s="4" t="n">
        <v>5</v>
      </c>
      <c r="M191" s="4" t="inlineStr">
        <is>
          <t>baja</t>
        </is>
      </c>
      <c r="N191" s="4" t="inlineStr">
        <is>
          <t>en linea con comparables</t>
        </is>
      </c>
      <c r="O191" s="4" t="n"/>
    </row>
    <row r="192">
      <c r="A192" s="4" t="inlineStr">
        <is>
          <t>MD-1091</t>
        </is>
      </c>
      <c r="B192" s="21" t="n">
        <v>45935</v>
      </c>
      <c r="C192" s="4" t="inlineStr">
        <is>
          <t>Tetuan</t>
        </is>
      </c>
      <c r="D192" s="4" t="n">
        <v>69</v>
      </c>
      <c r="E192" s="4" t="inlineStr">
        <is>
          <t>a reformar</t>
        </is>
      </c>
      <c r="F192" s="22" t="n">
        <v>323000</v>
      </c>
      <c r="G192" s="23" t="n">
        <v>4681.16</v>
      </c>
      <c r="H192" s="22" t="n"/>
      <c r="I192" s="23" t="n"/>
      <c r="J192" s="18" t="n"/>
      <c r="K192" s="24" t="n"/>
      <c r="L192" s="4" t="n">
        <v>4</v>
      </c>
      <c r="M192" s="4" t="inlineStr">
        <is>
          <t>sin muestra</t>
        </is>
      </c>
      <c r="N192" s="4" t="inlineStr">
        <is>
          <t>no valorable</t>
        </is>
      </c>
      <c r="O192" s="4" t="inlineStr">
        <is>
          <t>ventana inicial sin histórico</t>
        </is>
      </c>
    </row>
    <row r="193">
      <c r="A193" s="4" t="inlineStr">
        <is>
          <t>MD-0599</t>
        </is>
      </c>
      <c r="B193" s="21" t="n">
        <v>45935</v>
      </c>
      <c r="C193" s="4" t="inlineStr">
        <is>
          <t>Moncloa-Aravaca</t>
        </is>
      </c>
      <c r="D193" s="4" t="n">
        <v>80</v>
      </c>
      <c r="E193" s="4" t="inlineStr">
        <is>
          <t>buen estado</t>
        </is>
      </c>
      <c r="F193" s="22" t="n">
        <v>529000</v>
      </c>
      <c r="G193" s="23" t="n">
        <v>6612.5</v>
      </c>
      <c r="H193" s="22" t="n"/>
      <c r="I193" s="23" t="n"/>
      <c r="J193" s="18" t="n"/>
      <c r="K193" s="24" t="n"/>
      <c r="L193" s="4" t="n">
        <v>0</v>
      </c>
      <c r="M193" s="4" t="inlineStr">
        <is>
          <t>sin muestra</t>
        </is>
      </c>
      <c r="N193" s="4" t="inlineStr">
        <is>
          <t>no valorable</t>
        </is>
      </c>
      <c r="O193" s="4" t="inlineStr">
        <is>
          <t>ventana inicial sin histórico</t>
        </is>
      </c>
    </row>
    <row r="194">
      <c r="A194" s="4" t="inlineStr">
        <is>
          <t>MD-0700</t>
        </is>
      </c>
      <c r="B194" s="21" t="n">
        <v>45935</v>
      </c>
      <c r="C194" s="4" t="inlineStr">
        <is>
          <t>Chamartin</t>
        </is>
      </c>
      <c r="D194" s="4" t="n">
        <v>51</v>
      </c>
      <c r="E194" s="4" t="inlineStr">
        <is>
          <t>a reformar</t>
        </is>
      </c>
      <c r="F194" s="22" t="n">
        <v>376000</v>
      </c>
      <c r="G194" s="23" t="n">
        <v>7372.55</v>
      </c>
      <c r="H194" s="22" t="n"/>
      <c r="I194" s="23" t="n"/>
      <c r="J194" s="18" t="n"/>
      <c r="K194" s="24" t="n"/>
      <c r="L194" s="4" t="n">
        <v>3</v>
      </c>
      <c r="M194" s="4" t="inlineStr">
        <is>
          <t>sin muestra</t>
        </is>
      </c>
      <c r="N194" s="4" t="inlineStr">
        <is>
          <t>no valorable</t>
        </is>
      </c>
      <c r="O194" s="4" t="inlineStr">
        <is>
          <t>ventana inicial sin histórico</t>
        </is>
      </c>
    </row>
    <row r="195">
      <c r="A195" s="4" t="inlineStr">
        <is>
          <t>MD-1518</t>
        </is>
      </c>
      <c r="B195" s="21" t="n">
        <v>45935</v>
      </c>
      <c r="C195" s="4" t="inlineStr">
        <is>
          <t>Centro</t>
        </is>
      </c>
      <c r="D195" s="4" t="n">
        <v>29</v>
      </c>
      <c r="E195" s="4" t="inlineStr">
        <is>
          <t>a reformar</t>
        </is>
      </c>
      <c r="F195" s="22" t="n">
        <v>229000</v>
      </c>
      <c r="G195" s="23" t="n">
        <v>7896.55</v>
      </c>
      <c r="H195" s="22" t="n"/>
      <c r="I195" s="23" t="n"/>
      <c r="J195" s="18" t="n"/>
      <c r="K195" s="24" t="n"/>
      <c r="L195" s="4" t="n">
        <v>1</v>
      </c>
      <c r="M195" s="4" t="inlineStr">
        <is>
          <t>sin muestra</t>
        </is>
      </c>
      <c r="N195" s="4" t="inlineStr">
        <is>
          <t>no valorable</t>
        </is>
      </c>
      <c r="O195" s="4" t="inlineStr">
        <is>
          <t>ventana inicial sin histórico</t>
        </is>
      </c>
    </row>
    <row r="196">
      <c r="A196" s="4" t="inlineStr">
        <is>
          <t>MD-1022</t>
        </is>
      </c>
      <c r="B196" s="21" t="n">
        <v>45935</v>
      </c>
      <c r="C196" s="4" t="inlineStr">
        <is>
          <t>Chamberi</t>
        </is>
      </c>
      <c r="D196" s="4" t="n">
        <v>180</v>
      </c>
      <c r="E196" s="4" t="inlineStr">
        <is>
          <t>a reformar</t>
        </is>
      </c>
      <c r="F196" s="22" t="n">
        <v>1494000</v>
      </c>
      <c r="G196" s="23" t="n">
        <v>8300</v>
      </c>
      <c r="H196" s="22" t="n"/>
      <c r="I196" s="23" t="n"/>
      <c r="J196" s="18" t="n"/>
      <c r="K196" s="24" t="n"/>
      <c r="L196" s="4" t="n">
        <v>1</v>
      </c>
      <c r="M196" s="4" t="inlineStr">
        <is>
          <t>sin muestra</t>
        </is>
      </c>
      <c r="N196" s="4" t="inlineStr">
        <is>
          <t>no valorable</t>
        </is>
      </c>
      <c r="O196" s="4" t="inlineStr">
        <is>
          <t>ventana inicial sin histórico</t>
        </is>
      </c>
    </row>
    <row r="197">
      <c r="A197" s="4" t="inlineStr">
        <is>
          <t>MD-1313</t>
        </is>
      </c>
      <c r="B197" s="21" t="n">
        <v>45935</v>
      </c>
      <c r="C197" s="4" t="inlineStr">
        <is>
          <t>Fuencarral-El Pardo</t>
        </is>
      </c>
      <c r="D197" s="4" t="n">
        <v>175</v>
      </c>
      <c r="E197" s="4" t="inlineStr">
        <is>
          <t>reformado</t>
        </is>
      </c>
      <c r="F197" s="22" t="n">
        <v>724000</v>
      </c>
      <c r="G197" s="23" t="n">
        <v>4137.14</v>
      </c>
      <c r="H197" s="22" t="n"/>
      <c r="I197" s="23" t="n"/>
      <c r="J197" s="18" t="n"/>
      <c r="K197" s="24" t="n"/>
      <c r="L197" s="4" t="n">
        <v>0</v>
      </c>
      <c r="M197" s="4" t="inlineStr">
        <is>
          <t>sin muestra</t>
        </is>
      </c>
      <c r="N197" s="4" t="inlineStr">
        <is>
          <t>no valorable</t>
        </is>
      </c>
      <c r="O197" s="4" t="inlineStr">
        <is>
          <t>ventana inicial sin histórico</t>
        </is>
      </c>
    </row>
    <row r="198">
      <c r="A198" s="4" t="inlineStr">
        <is>
          <t>MD-1884</t>
        </is>
      </c>
      <c r="B198" s="21" t="n">
        <v>45935</v>
      </c>
      <c r="C198" s="4" t="inlineStr">
        <is>
          <t>Retiro</t>
        </is>
      </c>
      <c r="D198" s="4" t="n">
        <v>70</v>
      </c>
      <c r="E198" s="4" t="inlineStr">
        <is>
          <t>reformado</t>
        </is>
      </c>
      <c r="F198" s="22" t="n">
        <v>731000</v>
      </c>
      <c r="G198" s="23" t="n">
        <v>10442.86</v>
      </c>
      <c r="H198" s="22" t="n"/>
      <c r="I198" s="23" t="n"/>
      <c r="J198" s="18" t="n"/>
      <c r="K198" s="24" t="n"/>
      <c r="L198" s="4" t="n">
        <v>2</v>
      </c>
      <c r="M198" s="4" t="inlineStr">
        <is>
          <t>sin muestra</t>
        </is>
      </c>
      <c r="N198" s="4" t="inlineStr">
        <is>
          <t>no valorable</t>
        </is>
      </c>
      <c r="O198" s="4" t="inlineStr">
        <is>
          <t>ventana inicial sin histórico</t>
        </is>
      </c>
    </row>
    <row r="199">
      <c r="A199" s="4" t="inlineStr">
        <is>
          <t>MD-1960</t>
        </is>
      </c>
      <c r="B199" s="21" t="n">
        <v>45935</v>
      </c>
      <c r="C199" s="4" t="inlineStr">
        <is>
          <t>Fuencarral-El Pardo</t>
        </is>
      </c>
      <c r="D199" s="4" t="n">
        <v>69</v>
      </c>
      <c r="E199" s="4" t="inlineStr">
        <is>
          <t>buen estado</t>
        </is>
      </c>
      <c r="F199" s="22" t="n">
        <v>326000</v>
      </c>
      <c r="G199" s="23" t="n">
        <v>4724.64</v>
      </c>
      <c r="H199" s="22" t="n"/>
      <c r="I199" s="23" t="n"/>
      <c r="J199" s="18" t="n"/>
      <c r="K199" s="24" t="n"/>
      <c r="L199" s="4" t="n">
        <v>1</v>
      </c>
      <c r="M199" s="4" t="inlineStr">
        <is>
          <t>sin muestra</t>
        </is>
      </c>
      <c r="N199" s="4" t="inlineStr">
        <is>
          <t>no valorable</t>
        </is>
      </c>
      <c r="O199" s="4" t="inlineStr">
        <is>
          <t>ventana inicial sin histórico</t>
        </is>
      </c>
    </row>
    <row r="200">
      <c r="A200" s="4" t="inlineStr">
        <is>
          <t>MD-1956</t>
        </is>
      </c>
      <c r="B200" s="21" t="n">
        <v>45936</v>
      </c>
      <c r="C200" s="4" t="inlineStr">
        <is>
          <t>Chamberi</t>
        </is>
      </c>
      <c r="D200" s="4" t="n">
        <v>90</v>
      </c>
      <c r="E200" s="4" t="inlineStr">
        <is>
          <t>buen estado</t>
        </is>
      </c>
      <c r="F200" s="22" t="n">
        <v>824000</v>
      </c>
      <c r="G200" s="23" t="n">
        <v>9155.559999999999</v>
      </c>
      <c r="H200" s="22" t="n"/>
      <c r="I200" s="23" t="n"/>
      <c r="J200" s="18" t="n"/>
      <c r="K200" s="24" t="n"/>
      <c r="L200" s="4" t="n">
        <v>0</v>
      </c>
      <c r="M200" s="4" t="inlineStr">
        <is>
          <t>sin muestra</t>
        </is>
      </c>
      <c r="N200" s="4" t="inlineStr">
        <is>
          <t>no valorable</t>
        </is>
      </c>
      <c r="O200" s="4" t="inlineStr">
        <is>
          <t>ventana inicial sin histórico</t>
        </is>
      </c>
    </row>
    <row r="201">
      <c r="A201" s="4" t="inlineStr">
        <is>
          <t>MD-1498</t>
        </is>
      </c>
      <c r="B201" s="21" t="n">
        <v>45936</v>
      </c>
      <c r="C201" s="4" t="inlineStr">
        <is>
          <t>Puente de Vallecas</t>
        </is>
      </c>
      <c r="D201" s="4" t="n">
        <v>83</v>
      </c>
      <c r="E201" s="4" t="inlineStr">
        <is>
          <t>obra nueva</t>
        </is>
      </c>
      <c r="F201" s="22" t="n">
        <v>227000</v>
      </c>
      <c r="G201" s="23" t="n">
        <v>2734.94</v>
      </c>
      <c r="H201" s="22" t="n">
        <v>324790</v>
      </c>
      <c r="I201" s="23" t="n">
        <v>3913.14</v>
      </c>
      <c r="J201" s="18" t="n">
        <v>-0.3011</v>
      </c>
      <c r="K201" s="24" t="n">
        <v>100</v>
      </c>
      <c r="L201" s="4" t="n">
        <v>8</v>
      </c>
      <c r="M201" s="4" t="inlineStr">
        <is>
          <t>media</t>
        </is>
      </c>
      <c r="N201" s="4" t="inlineStr">
        <is>
          <t>por debajo de comparables</t>
        </is>
      </c>
      <c r="O201" s="4" t="n"/>
    </row>
    <row r="202">
      <c r="A202" s="4" t="inlineStr">
        <is>
          <t>MD-1993</t>
        </is>
      </c>
      <c r="B202" s="21" t="n">
        <v>45936</v>
      </c>
      <c r="C202" s="4" t="inlineStr">
        <is>
          <t>Fuencarral-El Pardo</t>
        </is>
      </c>
      <c r="D202" s="4" t="n">
        <v>62</v>
      </c>
      <c r="E202" s="4" t="inlineStr">
        <is>
          <t>a reformar</t>
        </is>
      </c>
      <c r="F202" s="22" t="n">
        <v>215000</v>
      </c>
      <c r="G202" s="23" t="n">
        <v>3467.74</v>
      </c>
      <c r="H202" s="22" t="n"/>
      <c r="I202" s="23" t="n"/>
      <c r="J202" s="18" t="n"/>
      <c r="K202" s="24" t="n"/>
      <c r="L202" s="4" t="n">
        <v>3</v>
      </c>
      <c r="M202" s="4" t="inlineStr">
        <is>
          <t>sin muestra</t>
        </is>
      </c>
      <c r="N202" s="4" t="inlineStr">
        <is>
          <t>no valorable</t>
        </is>
      </c>
      <c r="O202" s="4" t="inlineStr">
        <is>
          <t>ventana inicial sin histórico</t>
        </is>
      </c>
    </row>
    <row r="203">
      <c r="A203" s="4" t="inlineStr">
        <is>
          <t>MD-0833</t>
        </is>
      </c>
      <c r="B203" s="21" t="n">
        <v>45936</v>
      </c>
      <c r="C203" s="4" t="inlineStr">
        <is>
          <t>Retiro</t>
        </is>
      </c>
      <c r="D203" s="4" t="n">
        <v>82</v>
      </c>
      <c r="E203" s="4" t="inlineStr">
        <is>
          <t>obra nueva</t>
        </is>
      </c>
      <c r="F203" s="22" t="n">
        <v>713000</v>
      </c>
      <c r="G203" s="23" t="n">
        <v>8695.120000000001</v>
      </c>
      <c r="H203" s="22" t="n">
        <v>755447</v>
      </c>
      <c r="I203" s="23" t="n">
        <v>9212.77</v>
      </c>
      <c r="J203" s="18" t="n">
        <v>-0.0562</v>
      </c>
      <c r="K203" s="24" t="n">
        <v>64</v>
      </c>
      <c r="L203" s="4" t="n">
        <v>5</v>
      </c>
      <c r="M203" s="4" t="inlineStr">
        <is>
          <t>baja</t>
        </is>
      </c>
      <c r="N203" s="4" t="inlineStr">
        <is>
          <t>en linea con comparables</t>
        </is>
      </c>
      <c r="O203" s="4" t="n"/>
    </row>
    <row r="204">
      <c r="A204" s="4" t="inlineStr">
        <is>
          <t>MD-1228</t>
        </is>
      </c>
      <c r="B204" s="21" t="n">
        <v>45936</v>
      </c>
      <c r="C204" s="4" t="inlineStr">
        <is>
          <t>Puente de Vallecas</t>
        </is>
      </c>
      <c r="D204" s="4" t="n">
        <v>72</v>
      </c>
      <c r="E204" s="4" t="inlineStr">
        <is>
          <t>buen estado</t>
        </is>
      </c>
      <c r="F204" s="22" t="n">
        <v>175000</v>
      </c>
      <c r="G204" s="23" t="n">
        <v>2430.56</v>
      </c>
      <c r="H204" s="22" t="n">
        <v>227143</v>
      </c>
      <c r="I204" s="23" t="n">
        <v>3154.76</v>
      </c>
      <c r="J204" s="18" t="n">
        <v>-0.2296</v>
      </c>
      <c r="K204" s="24" t="n">
        <v>100</v>
      </c>
      <c r="L204" s="4" t="n">
        <v>13</v>
      </c>
      <c r="M204" s="4" t="inlineStr">
        <is>
          <t>media</t>
        </is>
      </c>
      <c r="N204" s="4" t="inlineStr">
        <is>
          <t>por debajo de comparables</t>
        </is>
      </c>
      <c r="O204" s="4" t="n"/>
    </row>
    <row r="205">
      <c r="A205" s="4" t="inlineStr">
        <is>
          <t>MD-1373</t>
        </is>
      </c>
      <c r="B205" s="21" t="n">
        <v>45936</v>
      </c>
      <c r="C205" s="4" t="inlineStr">
        <is>
          <t>Puente de Vallecas</t>
        </is>
      </c>
      <c r="D205" s="4" t="n">
        <v>51</v>
      </c>
      <c r="E205" s="4" t="inlineStr">
        <is>
          <t>reformado</t>
        </is>
      </c>
      <c r="F205" s="22" t="n">
        <v>153000</v>
      </c>
      <c r="G205" s="23" t="n">
        <v>3000</v>
      </c>
      <c r="H205" s="22" t="n">
        <v>159294</v>
      </c>
      <c r="I205" s="23" t="n">
        <v>3123.42</v>
      </c>
      <c r="J205" s="18" t="n">
        <v>-0.0395</v>
      </c>
      <c r="K205" s="24" t="n">
        <v>59.9</v>
      </c>
      <c r="L205" s="4" t="n">
        <v>9</v>
      </c>
      <c r="M205" s="4" t="inlineStr">
        <is>
          <t>media</t>
        </is>
      </c>
      <c r="N205" s="4" t="inlineStr">
        <is>
          <t>en linea con comparables</t>
        </is>
      </c>
      <c r="O205" s="4" t="n"/>
    </row>
    <row r="206">
      <c r="A206" s="4" t="inlineStr">
        <is>
          <t>MD-0152</t>
        </is>
      </c>
      <c r="B206" s="21" t="n">
        <v>45937</v>
      </c>
      <c r="C206" s="4" t="inlineStr">
        <is>
          <t>Latina</t>
        </is>
      </c>
      <c r="D206" s="4" t="n">
        <v>72</v>
      </c>
      <c r="E206" s="4" t="inlineStr">
        <is>
          <t>buen estado</t>
        </is>
      </c>
      <c r="F206" s="22" t="n">
        <v>265000</v>
      </c>
      <c r="G206" s="23" t="n">
        <v>3680.56</v>
      </c>
      <c r="H206" s="22" t="n">
        <v>211241</v>
      </c>
      <c r="I206" s="23" t="n">
        <v>2933.9</v>
      </c>
      <c r="J206" s="18" t="n">
        <v>0.2545</v>
      </c>
      <c r="K206" s="24" t="n">
        <v>0</v>
      </c>
      <c r="L206" s="4" t="n">
        <v>10</v>
      </c>
      <c r="M206" s="4" t="inlineStr">
        <is>
          <t>media</t>
        </is>
      </c>
      <c r="N206" s="4" t="inlineStr">
        <is>
          <t>por encima de comparables</t>
        </is>
      </c>
      <c r="O206" s="4" t="n"/>
    </row>
    <row r="207">
      <c r="A207" s="4" t="inlineStr">
        <is>
          <t>MD-0160</t>
        </is>
      </c>
      <c r="B207" s="21" t="n">
        <v>45937</v>
      </c>
      <c r="C207" s="4" t="inlineStr">
        <is>
          <t>Retiro</t>
        </is>
      </c>
      <c r="D207" s="4" t="n">
        <v>138</v>
      </c>
      <c r="E207" s="4" t="inlineStr">
        <is>
          <t>a reformar</t>
        </is>
      </c>
      <c r="F207" s="22" t="n">
        <v>935000</v>
      </c>
      <c r="G207" s="23" t="n">
        <v>6775.36</v>
      </c>
      <c r="H207" s="22" t="n"/>
      <c r="I207" s="23" t="n"/>
      <c r="J207" s="18" t="n"/>
      <c r="K207" s="24" t="n"/>
      <c r="L207" s="4" t="n">
        <v>2</v>
      </c>
      <c r="M207" s="4" t="inlineStr">
        <is>
          <t>sin muestra</t>
        </is>
      </c>
      <c r="N207" s="4" t="inlineStr">
        <is>
          <t>no valorable</t>
        </is>
      </c>
      <c r="O207" s="4" t="inlineStr">
        <is>
          <t>ventana inicial sin histórico</t>
        </is>
      </c>
    </row>
    <row r="208">
      <c r="A208" s="4" t="inlineStr">
        <is>
          <t>MD-1330</t>
        </is>
      </c>
      <c r="B208" s="21" t="n">
        <v>45937</v>
      </c>
      <c r="C208" s="4" t="inlineStr">
        <is>
          <t>Fuencarral-El Pardo</t>
        </is>
      </c>
      <c r="D208" s="4" t="n">
        <v>100</v>
      </c>
      <c r="E208" s="4" t="inlineStr">
        <is>
          <t>a reformar</t>
        </is>
      </c>
      <c r="F208" s="22" t="n">
        <v>483000</v>
      </c>
      <c r="G208" s="23" t="n">
        <v>4830</v>
      </c>
      <c r="H208" s="22" t="n">
        <v>522499</v>
      </c>
      <c r="I208" s="23" t="n">
        <v>5224.99</v>
      </c>
      <c r="J208" s="18" t="n">
        <v>-0.0756</v>
      </c>
      <c r="K208" s="24" t="n">
        <v>68.90000000000001</v>
      </c>
      <c r="L208" s="4" t="n">
        <v>5</v>
      </c>
      <c r="M208" s="4" t="inlineStr">
        <is>
          <t>baja</t>
        </is>
      </c>
      <c r="N208" s="4" t="inlineStr">
        <is>
          <t>en linea con comparables</t>
        </is>
      </c>
      <c r="O208" s="4" t="n"/>
    </row>
    <row r="209">
      <c r="A209" s="4" t="inlineStr">
        <is>
          <t>MD-0137</t>
        </is>
      </c>
      <c r="B209" s="21" t="n">
        <v>45937</v>
      </c>
      <c r="C209" s="4" t="inlineStr">
        <is>
          <t>Centro</t>
        </is>
      </c>
      <c r="D209" s="4" t="n">
        <v>146</v>
      </c>
      <c r="E209" s="4" t="inlineStr">
        <is>
          <t>buen estado</t>
        </is>
      </c>
      <c r="F209" s="22" t="n">
        <v>1085000</v>
      </c>
      <c r="G209" s="23" t="n">
        <v>7431.51</v>
      </c>
      <c r="H209" s="22" t="n"/>
      <c r="I209" s="23" t="n"/>
      <c r="J209" s="18" t="n"/>
      <c r="K209" s="24" t="n"/>
      <c r="L209" s="4" t="n">
        <v>0</v>
      </c>
      <c r="M209" s="4" t="inlineStr">
        <is>
          <t>sin muestra</t>
        </is>
      </c>
      <c r="N209" s="4" t="inlineStr">
        <is>
          <t>no valorable</t>
        </is>
      </c>
      <c r="O209" s="4" t="inlineStr">
        <is>
          <t>ventana inicial sin histórico</t>
        </is>
      </c>
    </row>
    <row r="210">
      <c r="A210" s="4" t="inlineStr">
        <is>
          <t>MD-1462</t>
        </is>
      </c>
      <c r="B210" s="21" t="n">
        <v>45937</v>
      </c>
      <c r="C210" s="4" t="inlineStr">
        <is>
          <t>Salamanca</t>
        </is>
      </c>
      <c r="D210" s="4" t="n">
        <v>187</v>
      </c>
      <c r="E210" s="4" t="inlineStr">
        <is>
          <t>buen estado</t>
        </is>
      </c>
      <c r="F210" s="22" t="n">
        <v>1477000</v>
      </c>
      <c r="G210" s="23" t="n">
        <v>7898.4</v>
      </c>
      <c r="H210" s="22" t="n"/>
      <c r="I210" s="23" t="n"/>
      <c r="J210" s="18" t="n"/>
      <c r="K210" s="24" t="n"/>
      <c r="L210" s="4" t="n">
        <v>0</v>
      </c>
      <c r="M210" s="4" t="inlineStr">
        <is>
          <t>sin muestra</t>
        </is>
      </c>
      <c r="N210" s="4" t="inlineStr">
        <is>
          <t>no valorable</t>
        </is>
      </c>
      <c r="O210" s="4" t="inlineStr">
        <is>
          <t>ventana inicial sin histórico</t>
        </is>
      </c>
    </row>
    <row r="211">
      <c r="A211" s="4" t="inlineStr">
        <is>
          <t>MD-0783</t>
        </is>
      </c>
      <c r="B211" s="21" t="n">
        <v>45938</v>
      </c>
      <c r="C211" s="4" t="inlineStr">
        <is>
          <t>Puente de Vallecas</t>
        </is>
      </c>
      <c r="D211" s="4" t="n">
        <v>72</v>
      </c>
      <c r="E211" s="4" t="inlineStr">
        <is>
          <t>buen estado</t>
        </is>
      </c>
      <c r="F211" s="22" t="n">
        <v>251000</v>
      </c>
      <c r="G211" s="23" t="n">
        <v>3486.11</v>
      </c>
      <c r="H211" s="22" t="n">
        <v>192623</v>
      </c>
      <c r="I211" s="23" t="n">
        <v>2675.32</v>
      </c>
      <c r="J211" s="18" t="n">
        <v>0.3031</v>
      </c>
      <c r="K211" s="24" t="n">
        <v>0</v>
      </c>
      <c r="L211" s="4" t="n">
        <v>15</v>
      </c>
      <c r="M211" s="4" t="inlineStr">
        <is>
          <t>media</t>
        </is>
      </c>
      <c r="N211" s="4" t="inlineStr">
        <is>
          <t>por encima de comparables</t>
        </is>
      </c>
      <c r="O211" s="4" t="n"/>
    </row>
    <row r="212">
      <c r="A212" s="4" t="inlineStr">
        <is>
          <t>MD-1332</t>
        </is>
      </c>
      <c r="B212" s="21" t="n">
        <v>45938</v>
      </c>
      <c r="C212" s="4" t="inlineStr">
        <is>
          <t>Puente de Vallecas</t>
        </is>
      </c>
      <c r="D212" s="4" t="n">
        <v>72</v>
      </c>
      <c r="E212" s="4" t="inlineStr">
        <is>
          <t>buen estado</t>
        </is>
      </c>
      <c r="F212" s="22" t="n">
        <v>208000</v>
      </c>
      <c r="G212" s="23" t="n">
        <v>2888.89</v>
      </c>
      <c r="H212" s="22" t="n">
        <v>218194</v>
      </c>
      <c r="I212" s="23" t="n">
        <v>3030.47</v>
      </c>
      <c r="J212" s="18" t="n">
        <v>-0.0467</v>
      </c>
      <c r="K212" s="24" t="n">
        <v>61.7</v>
      </c>
      <c r="L212" s="4" t="n">
        <v>15</v>
      </c>
      <c r="M212" s="4" t="inlineStr">
        <is>
          <t>media</t>
        </is>
      </c>
      <c r="N212" s="4" t="inlineStr">
        <is>
          <t>en linea con comparables</t>
        </is>
      </c>
      <c r="O212" s="4" t="n"/>
    </row>
    <row r="213">
      <c r="A213" s="4" t="inlineStr">
        <is>
          <t>MD-1818</t>
        </is>
      </c>
      <c r="B213" s="21" t="n">
        <v>45938</v>
      </c>
      <c r="C213" s="4" t="inlineStr">
        <is>
          <t>Hortaleza</t>
        </is>
      </c>
      <c r="D213" s="4" t="n">
        <v>106</v>
      </c>
      <c r="E213" s="4" t="inlineStr">
        <is>
          <t>buen estado</t>
        </is>
      </c>
      <c r="F213" s="22" t="n">
        <v>565000</v>
      </c>
      <c r="G213" s="23" t="n">
        <v>5330.19</v>
      </c>
      <c r="H213" s="22" t="n">
        <v>592668</v>
      </c>
      <c r="I213" s="23" t="n">
        <v>5591.21</v>
      </c>
      <c r="J213" s="18" t="n">
        <v>-0.0467</v>
      </c>
      <c r="K213" s="24" t="n">
        <v>61.7</v>
      </c>
      <c r="L213" s="4" t="n">
        <v>6</v>
      </c>
      <c r="M213" s="4" t="inlineStr">
        <is>
          <t>baja</t>
        </is>
      </c>
      <c r="N213" s="4" t="inlineStr">
        <is>
          <t>en linea con comparables</t>
        </is>
      </c>
      <c r="O213" s="4" t="n"/>
    </row>
    <row r="214">
      <c r="A214" s="4" t="inlineStr">
        <is>
          <t>MD-0510</t>
        </is>
      </c>
      <c r="B214" s="21" t="n">
        <v>45938</v>
      </c>
      <c r="C214" s="4" t="inlineStr">
        <is>
          <t>Ciudad Lineal</t>
        </is>
      </c>
      <c r="D214" s="4" t="n">
        <v>75</v>
      </c>
      <c r="E214" s="4" t="inlineStr">
        <is>
          <t>obra nueva</t>
        </is>
      </c>
      <c r="F214" s="22" t="n">
        <v>545000</v>
      </c>
      <c r="G214" s="23" t="n">
        <v>7266.67</v>
      </c>
      <c r="H214" s="22" t="n"/>
      <c r="I214" s="23" t="n"/>
      <c r="J214" s="18" t="n"/>
      <c r="K214" s="24" t="n"/>
      <c r="L214" s="4" t="n">
        <v>3</v>
      </c>
      <c r="M214" s="4" t="inlineStr">
        <is>
          <t>sin muestra</t>
        </is>
      </c>
      <c r="N214" s="4" t="inlineStr">
        <is>
          <t>no valorable</t>
        </is>
      </c>
      <c r="O214" s="4" t="inlineStr">
        <is>
          <t>ventana inicial sin histórico</t>
        </is>
      </c>
    </row>
    <row r="215">
      <c r="A215" s="4" t="inlineStr">
        <is>
          <t>MD-0885</t>
        </is>
      </c>
      <c r="B215" s="21" t="n">
        <v>45938</v>
      </c>
      <c r="C215" s="4" t="inlineStr">
        <is>
          <t>Hortaleza</t>
        </is>
      </c>
      <c r="D215" s="4" t="n">
        <v>111</v>
      </c>
      <c r="E215" s="4" t="inlineStr">
        <is>
          <t>buen estado</t>
        </is>
      </c>
      <c r="F215" s="22" t="n">
        <v>430000</v>
      </c>
      <c r="G215" s="23" t="n">
        <v>3873.87</v>
      </c>
      <c r="H215" s="22" t="n"/>
      <c r="I215" s="23" t="n"/>
      <c r="J215" s="18" t="n"/>
      <c r="K215" s="24" t="n"/>
      <c r="L215" s="4" t="n">
        <v>4</v>
      </c>
      <c r="M215" s="4" t="inlineStr">
        <is>
          <t>sin muestra</t>
        </is>
      </c>
      <c r="N215" s="4" t="inlineStr">
        <is>
          <t>no valorable</t>
        </is>
      </c>
      <c r="O215" s="4" t="inlineStr">
        <is>
          <t>ventana inicial sin histórico</t>
        </is>
      </c>
    </row>
    <row r="216">
      <c r="A216" s="4" t="inlineStr">
        <is>
          <t>MD-1924</t>
        </is>
      </c>
      <c r="B216" s="21" t="n">
        <v>45938</v>
      </c>
      <c r="C216" s="4" t="inlineStr">
        <is>
          <t>Salamanca</t>
        </is>
      </c>
      <c r="D216" s="4" t="n">
        <v>73</v>
      </c>
      <c r="E216" s="4" t="inlineStr">
        <is>
          <t>a reformar</t>
        </is>
      </c>
      <c r="F216" s="22" t="n">
        <v>477000</v>
      </c>
      <c r="G216" s="23" t="n">
        <v>6534.25</v>
      </c>
      <c r="H216" s="22" t="n"/>
      <c r="I216" s="23" t="n"/>
      <c r="J216" s="18" t="n"/>
      <c r="K216" s="24" t="n"/>
      <c r="L216" s="4" t="n">
        <v>3</v>
      </c>
      <c r="M216" s="4" t="inlineStr">
        <is>
          <t>sin muestra</t>
        </is>
      </c>
      <c r="N216" s="4" t="inlineStr">
        <is>
          <t>no valorable</t>
        </is>
      </c>
      <c r="O216" s="4" t="inlineStr">
        <is>
          <t>ventana inicial sin histórico</t>
        </is>
      </c>
    </row>
    <row r="217">
      <c r="A217" s="4" t="inlineStr">
        <is>
          <t>MD-1191</t>
        </is>
      </c>
      <c r="B217" s="21" t="n">
        <v>45938</v>
      </c>
      <c r="C217" s="4" t="inlineStr">
        <is>
          <t>Tetuan</t>
        </is>
      </c>
      <c r="D217" s="4" t="n">
        <v>45</v>
      </c>
      <c r="E217" s="4" t="inlineStr">
        <is>
          <t>buen estado</t>
        </is>
      </c>
      <c r="F217" s="22" t="n">
        <v>218000</v>
      </c>
      <c r="G217" s="23" t="n">
        <v>4844.44</v>
      </c>
      <c r="H217" s="22" t="n"/>
      <c r="I217" s="23" t="n"/>
      <c r="J217" s="18" t="n"/>
      <c r="K217" s="24" t="n"/>
      <c r="L217" s="4" t="n">
        <v>2</v>
      </c>
      <c r="M217" s="4" t="inlineStr">
        <is>
          <t>sin muestra</t>
        </is>
      </c>
      <c r="N217" s="4" t="inlineStr">
        <is>
          <t>no valorable</t>
        </is>
      </c>
      <c r="O217" s="4" t="inlineStr">
        <is>
          <t>ventana inicial sin histórico</t>
        </is>
      </c>
    </row>
    <row r="218">
      <c r="A218" s="4" t="inlineStr">
        <is>
          <t>MD-1502</t>
        </is>
      </c>
      <c r="B218" s="21" t="n">
        <v>45938</v>
      </c>
      <c r="C218" s="4" t="inlineStr">
        <is>
          <t>Carabanchel</t>
        </is>
      </c>
      <c r="D218" s="4" t="n">
        <v>153</v>
      </c>
      <c r="E218" s="4" t="inlineStr">
        <is>
          <t>buen estado</t>
        </is>
      </c>
      <c r="F218" s="22" t="n">
        <v>473000</v>
      </c>
      <c r="G218" s="23" t="n">
        <v>3091.5</v>
      </c>
      <c r="H218" s="22" t="n"/>
      <c r="I218" s="23" t="n"/>
      <c r="J218" s="18" t="n"/>
      <c r="K218" s="24" t="n"/>
      <c r="L218" s="4" t="n">
        <v>1</v>
      </c>
      <c r="M218" s="4" t="inlineStr">
        <is>
          <t>sin muestra</t>
        </is>
      </c>
      <c r="N218" s="4" t="inlineStr">
        <is>
          <t>no valorable</t>
        </is>
      </c>
      <c r="O218" s="4" t="inlineStr">
        <is>
          <t>ventana inicial sin histórico</t>
        </is>
      </c>
    </row>
    <row r="219">
      <c r="A219" s="4" t="inlineStr">
        <is>
          <t>MD-1772</t>
        </is>
      </c>
      <c r="B219" s="21" t="n">
        <v>45939</v>
      </c>
      <c r="C219" s="4" t="inlineStr">
        <is>
          <t>San Blas-Canillejas</t>
        </is>
      </c>
      <c r="D219" s="4" t="n">
        <v>48</v>
      </c>
      <c r="E219" s="4" t="inlineStr">
        <is>
          <t>buen estado</t>
        </is>
      </c>
      <c r="F219" s="22" t="n">
        <v>215000</v>
      </c>
      <c r="G219" s="23" t="n">
        <v>4479.17</v>
      </c>
      <c r="H219" s="22" t="n"/>
      <c r="I219" s="23" t="n"/>
      <c r="J219" s="18" t="n"/>
      <c r="K219" s="24" t="n"/>
      <c r="L219" s="4" t="n">
        <v>3</v>
      </c>
      <c r="M219" s="4" t="inlineStr">
        <is>
          <t>sin muestra</t>
        </is>
      </c>
      <c r="N219" s="4" t="inlineStr">
        <is>
          <t>no valorable</t>
        </is>
      </c>
      <c r="O219" s="4" t="inlineStr">
        <is>
          <t>ventana inicial sin histórico</t>
        </is>
      </c>
    </row>
    <row r="220">
      <c r="A220" s="4" t="inlineStr">
        <is>
          <t>MD-0157</t>
        </is>
      </c>
      <c r="B220" s="21" t="n">
        <v>45939</v>
      </c>
      <c r="C220" s="4" t="inlineStr">
        <is>
          <t>Vicalvaro</t>
        </is>
      </c>
      <c r="D220" s="4" t="n">
        <v>89</v>
      </c>
      <c r="E220" s="4" t="inlineStr">
        <is>
          <t>buen estado</t>
        </is>
      </c>
      <c r="F220" s="22" t="n">
        <v>350000</v>
      </c>
      <c r="G220" s="23" t="n">
        <v>3932.58</v>
      </c>
      <c r="H220" s="22" t="n"/>
      <c r="I220" s="23" t="n"/>
      <c r="J220" s="18" t="n"/>
      <c r="K220" s="24" t="n"/>
      <c r="L220" s="4" t="n">
        <v>3</v>
      </c>
      <c r="M220" s="4" t="inlineStr">
        <is>
          <t>sin muestra</t>
        </is>
      </c>
      <c r="N220" s="4" t="inlineStr">
        <is>
          <t>no valorable</t>
        </is>
      </c>
      <c r="O220" s="4" t="inlineStr">
        <is>
          <t>ventana inicial sin histórico</t>
        </is>
      </c>
    </row>
    <row r="221">
      <c r="A221" s="4" t="inlineStr">
        <is>
          <t>MD-0570</t>
        </is>
      </c>
      <c r="B221" s="21" t="n">
        <v>45939</v>
      </c>
      <c r="C221" s="4" t="inlineStr">
        <is>
          <t>Puente de Vallecas</t>
        </is>
      </c>
      <c r="D221" s="4" t="n">
        <v>75</v>
      </c>
      <c r="E221" s="4" t="inlineStr">
        <is>
          <t>reformado</t>
        </is>
      </c>
      <c r="F221" s="22" t="n">
        <v>229000</v>
      </c>
      <c r="G221" s="23" t="n">
        <v>3053.33</v>
      </c>
      <c r="H221" s="22" t="n">
        <v>229567</v>
      </c>
      <c r="I221" s="23" t="n">
        <v>3060.9</v>
      </c>
      <c r="J221" s="18" t="n">
        <v>-0.0025</v>
      </c>
      <c r="K221" s="24" t="n">
        <v>50.6</v>
      </c>
      <c r="L221" s="4" t="n">
        <v>14</v>
      </c>
      <c r="M221" s="4" t="inlineStr">
        <is>
          <t>media</t>
        </is>
      </c>
      <c r="N221" s="4" t="inlineStr">
        <is>
          <t>en linea con comparables</t>
        </is>
      </c>
      <c r="O221" s="4" t="n"/>
    </row>
    <row r="222">
      <c r="A222" s="4" t="inlineStr">
        <is>
          <t>MD-1056</t>
        </is>
      </c>
      <c r="B222" s="21" t="n">
        <v>45939</v>
      </c>
      <c r="C222" s="4" t="inlineStr">
        <is>
          <t>Chamartin</t>
        </is>
      </c>
      <c r="D222" s="4" t="n">
        <v>177</v>
      </c>
      <c r="E222" s="4" t="inlineStr">
        <is>
          <t>buen estado</t>
        </is>
      </c>
      <c r="F222" s="22" t="n">
        <v>1269000</v>
      </c>
      <c r="G222" s="23" t="n">
        <v>7169.49</v>
      </c>
      <c r="H222" s="22" t="n">
        <v>1598116</v>
      </c>
      <c r="I222" s="23" t="n">
        <v>9028.91</v>
      </c>
      <c r="J222" s="18" t="n">
        <v>-0.2059</v>
      </c>
      <c r="K222" s="24" t="n">
        <v>100</v>
      </c>
      <c r="L222" s="4" t="n">
        <v>5</v>
      </c>
      <c r="M222" s="4" t="inlineStr">
        <is>
          <t>baja</t>
        </is>
      </c>
      <c r="N222" s="4" t="inlineStr">
        <is>
          <t>por debajo de comparables</t>
        </is>
      </c>
      <c r="O222" s="4" t="n"/>
    </row>
    <row r="223">
      <c r="A223" s="4" t="inlineStr">
        <is>
          <t>MD-0674</t>
        </is>
      </c>
      <c r="B223" s="21" t="n">
        <v>45939</v>
      </c>
      <c r="C223" s="4" t="inlineStr">
        <is>
          <t>Usera</t>
        </is>
      </c>
      <c r="D223" s="4" t="n">
        <v>86</v>
      </c>
      <c r="E223" s="4" t="inlineStr">
        <is>
          <t>obra nueva</t>
        </is>
      </c>
      <c r="F223" s="22" t="n">
        <v>339000</v>
      </c>
      <c r="G223" s="23" t="n">
        <v>3941.86</v>
      </c>
      <c r="H223" s="22" t="n"/>
      <c r="I223" s="23" t="n"/>
      <c r="J223" s="18" t="n"/>
      <c r="K223" s="24" t="n"/>
      <c r="L223" s="4" t="n">
        <v>2</v>
      </c>
      <c r="M223" s="4" t="inlineStr">
        <is>
          <t>sin muestra</t>
        </is>
      </c>
      <c r="N223" s="4" t="inlineStr">
        <is>
          <t>no valorable</t>
        </is>
      </c>
      <c r="O223" s="4" t="inlineStr">
        <is>
          <t>ventana inicial sin histórico</t>
        </is>
      </c>
    </row>
    <row r="224">
      <c r="A224" s="4" t="inlineStr">
        <is>
          <t>MD-1588</t>
        </is>
      </c>
      <c r="B224" s="21" t="n">
        <v>45939</v>
      </c>
      <c r="C224" s="4" t="inlineStr">
        <is>
          <t>Fuencarral-El Pardo</t>
        </is>
      </c>
      <c r="D224" s="4" t="n">
        <v>99</v>
      </c>
      <c r="E224" s="4" t="inlineStr">
        <is>
          <t>reformado</t>
        </is>
      </c>
      <c r="F224" s="22" t="n">
        <v>670000</v>
      </c>
      <c r="G224" s="23" t="n">
        <v>6767.68</v>
      </c>
      <c r="H224" s="22" t="n">
        <v>602541</v>
      </c>
      <c r="I224" s="23" t="n">
        <v>6086.28</v>
      </c>
      <c r="J224" s="18" t="n">
        <v>0.112</v>
      </c>
      <c r="K224" s="24" t="n">
        <v>22</v>
      </c>
      <c r="L224" s="4" t="n">
        <v>6</v>
      </c>
      <c r="M224" s="4" t="inlineStr">
        <is>
          <t>baja</t>
        </is>
      </c>
      <c r="N224" s="4" t="inlineStr">
        <is>
          <t>por encima de comparables</t>
        </is>
      </c>
      <c r="O224" s="4" t="n"/>
    </row>
    <row r="225">
      <c r="A225" s="4" t="inlineStr">
        <is>
          <t>MD-0571</t>
        </is>
      </c>
      <c r="B225" s="21" t="n">
        <v>45939</v>
      </c>
      <c r="C225" s="4" t="inlineStr">
        <is>
          <t>Moratalaz</t>
        </is>
      </c>
      <c r="D225" s="4" t="n">
        <v>83</v>
      </c>
      <c r="E225" s="4" t="inlineStr">
        <is>
          <t>reformado</t>
        </is>
      </c>
      <c r="F225" s="22" t="n">
        <v>378000</v>
      </c>
      <c r="G225" s="23" t="n">
        <v>4554.22</v>
      </c>
      <c r="H225" s="22" t="n"/>
      <c r="I225" s="23" t="n"/>
      <c r="J225" s="18" t="n"/>
      <c r="K225" s="24" t="n"/>
      <c r="L225" s="4" t="n">
        <v>0</v>
      </c>
      <c r="M225" s="4" t="inlineStr">
        <is>
          <t>sin muestra</t>
        </is>
      </c>
      <c r="N225" s="4" t="inlineStr">
        <is>
          <t>no valorable</t>
        </is>
      </c>
      <c r="O225" s="4" t="inlineStr">
        <is>
          <t>ventana inicial sin histórico</t>
        </is>
      </c>
    </row>
    <row r="226">
      <c r="A226" s="4" t="inlineStr">
        <is>
          <t>MD-0179</t>
        </is>
      </c>
      <c r="B226" s="21" t="n">
        <v>45940</v>
      </c>
      <c r="C226" s="4" t="inlineStr">
        <is>
          <t>Vicalvaro</t>
        </is>
      </c>
      <c r="D226" s="4" t="n">
        <v>89</v>
      </c>
      <c r="E226" s="4" t="inlineStr">
        <is>
          <t>reformado</t>
        </is>
      </c>
      <c r="F226" s="22" t="n">
        <v>410000</v>
      </c>
      <c r="G226" s="23" t="n">
        <v>4606.74</v>
      </c>
      <c r="H226" s="22" t="n"/>
      <c r="I226" s="23" t="n"/>
      <c r="J226" s="18" t="n"/>
      <c r="K226" s="24" t="n"/>
      <c r="L226" s="4" t="n">
        <v>4</v>
      </c>
      <c r="M226" s="4" t="inlineStr">
        <is>
          <t>sin muestra</t>
        </is>
      </c>
      <c r="N226" s="4" t="inlineStr">
        <is>
          <t>no valorable</t>
        </is>
      </c>
      <c r="O226" s="4" t="inlineStr">
        <is>
          <t>ventana inicial sin histórico</t>
        </is>
      </c>
    </row>
    <row r="227">
      <c r="A227" s="4" t="inlineStr">
        <is>
          <t>MD-0035</t>
        </is>
      </c>
      <c r="B227" s="21" t="n">
        <v>45940</v>
      </c>
      <c r="C227" s="4" t="inlineStr">
        <is>
          <t>Chamberi</t>
        </is>
      </c>
      <c r="D227" s="4" t="n">
        <v>94</v>
      </c>
      <c r="E227" s="4" t="inlineStr">
        <is>
          <t>buen estado</t>
        </is>
      </c>
      <c r="F227" s="22" t="n">
        <v>740000</v>
      </c>
      <c r="G227" s="23" t="n">
        <v>7872.34</v>
      </c>
      <c r="H227" s="22" t="n"/>
      <c r="I227" s="23" t="n"/>
      <c r="J227" s="18" t="n"/>
      <c r="K227" s="24" t="n"/>
      <c r="L227" s="4" t="n">
        <v>1</v>
      </c>
      <c r="M227" s="4" t="inlineStr">
        <is>
          <t>sin muestra</t>
        </is>
      </c>
      <c r="N227" s="4" t="inlineStr">
        <is>
          <t>no valorable</t>
        </is>
      </c>
      <c r="O227" s="4" t="inlineStr">
        <is>
          <t>ventana inicial sin histórico</t>
        </is>
      </c>
    </row>
    <row r="228">
      <c r="A228" s="4" t="inlineStr">
        <is>
          <t>MD-1448</t>
        </is>
      </c>
      <c r="B228" s="21" t="n">
        <v>45940</v>
      </c>
      <c r="C228" s="4" t="inlineStr">
        <is>
          <t>Puente de Vallecas</t>
        </is>
      </c>
      <c r="D228" s="4" t="n">
        <v>39</v>
      </c>
      <c r="E228" s="4" t="inlineStr">
        <is>
          <t>a reformar</t>
        </is>
      </c>
      <c r="F228" s="22" t="n">
        <v>71000</v>
      </c>
      <c r="G228" s="23" t="n">
        <v>1820.51</v>
      </c>
      <c r="H228" s="22" t="n"/>
      <c r="I228" s="23" t="n"/>
      <c r="J228" s="18" t="n"/>
      <c r="K228" s="24" t="n"/>
      <c r="L228" s="4" t="n">
        <v>4</v>
      </c>
      <c r="M228" s="4" t="inlineStr">
        <is>
          <t>sin muestra</t>
        </is>
      </c>
      <c r="N228" s="4" t="inlineStr">
        <is>
          <t>no valorable</t>
        </is>
      </c>
      <c r="O228" s="4" t="inlineStr">
        <is>
          <t>ventana inicial sin histórico</t>
        </is>
      </c>
    </row>
    <row r="229">
      <c r="A229" s="4" t="inlineStr">
        <is>
          <t>MD-1992</t>
        </is>
      </c>
      <c r="B229" s="21" t="n">
        <v>45940</v>
      </c>
      <c r="C229" s="4" t="inlineStr">
        <is>
          <t>Chamartin</t>
        </is>
      </c>
      <c r="D229" s="4" t="n">
        <v>145</v>
      </c>
      <c r="E229" s="4" t="inlineStr">
        <is>
          <t>buen estado</t>
        </is>
      </c>
      <c r="F229" s="22" t="n">
        <v>147000</v>
      </c>
      <c r="G229" s="23" t="n">
        <v>1013.79</v>
      </c>
      <c r="H229" s="22" t="n"/>
      <c r="I229" s="23" t="n"/>
      <c r="J229" s="18" t="n"/>
      <c r="K229" s="24" t="n"/>
      <c r="L229" s="4" t="n">
        <v>2</v>
      </c>
      <c r="M229" s="4" t="inlineStr">
        <is>
          <t>sin muestra</t>
        </is>
      </c>
      <c r="N229" s="4" t="inlineStr">
        <is>
          <t>no valorable</t>
        </is>
      </c>
      <c r="O229" s="4" t="inlineStr">
        <is>
          <t>ventana inicial sin histórico</t>
        </is>
      </c>
    </row>
    <row r="230">
      <c r="A230" s="4" t="inlineStr">
        <is>
          <t>MD-0628</t>
        </is>
      </c>
      <c r="B230" s="21" t="n">
        <v>45940</v>
      </c>
      <c r="C230" s="4" t="inlineStr">
        <is>
          <t>Fuencarral-El Pardo</t>
        </is>
      </c>
      <c r="D230" s="4" t="n">
        <v>168</v>
      </c>
      <c r="E230" s="4" t="inlineStr">
        <is>
          <t>a reformar</t>
        </is>
      </c>
      <c r="F230" s="22" t="n">
        <v>720000</v>
      </c>
      <c r="G230" s="23" t="n">
        <v>4285.71</v>
      </c>
      <c r="H230" s="22" t="n"/>
      <c r="I230" s="23" t="n"/>
      <c r="J230" s="18" t="n"/>
      <c r="K230" s="24" t="n"/>
      <c r="L230" s="4" t="n">
        <v>1</v>
      </c>
      <c r="M230" s="4" t="inlineStr">
        <is>
          <t>sin muestra</t>
        </is>
      </c>
      <c r="N230" s="4" t="inlineStr">
        <is>
          <t>no valorable</t>
        </is>
      </c>
      <c r="O230" s="4" t="inlineStr">
        <is>
          <t>ventana inicial sin histórico</t>
        </is>
      </c>
    </row>
    <row r="231">
      <c r="A231" s="4" t="inlineStr">
        <is>
          <t>MD-1981</t>
        </is>
      </c>
      <c r="B231" s="21" t="n">
        <v>45940</v>
      </c>
      <c r="C231" s="4" t="inlineStr">
        <is>
          <t>Chamberi</t>
        </is>
      </c>
      <c r="D231" s="4" t="n">
        <v>62</v>
      </c>
      <c r="E231" s="4" t="inlineStr">
        <is>
          <t>buen estado</t>
        </is>
      </c>
      <c r="F231" s="22" t="n">
        <v>519000</v>
      </c>
      <c r="G231" s="23" t="n">
        <v>8370.969999999999</v>
      </c>
      <c r="H231" s="22" t="n">
        <v>571466</v>
      </c>
      <c r="I231" s="23" t="n">
        <v>9217.190000000001</v>
      </c>
      <c r="J231" s="18" t="n">
        <v>-0.09180000000000001</v>
      </c>
      <c r="K231" s="24" t="n">
        <v>73</v>
      </c>
      <c r="L231" s="4" t="n">
        <v>6</v>
      </c>
      <c r="M231" s="4" t="inlineStr">
        <is>
          <t>baja</t>
        </is>
      </c>
      <c r="N231" s="4" t="inlineStr">
        <is>
          <t>en linea con comparables</t>
        </is>
      </c>
      <c r="O231" s="4" t="n"/>
    </row>
    <row r="232">
      <c r="A232" s="4" t="inlineStr">
        <is>
          <t>MD-1144</t>
        </is>
      </c>
      <c r="B232" s="21" t="n">
        <v>45941</v>
      </c>
      <c r="C232" s="4" t="inlineStr">
        <is>
          <t>Vicalvaro</t>
        </is>
      </c>
      <c r="D232" s="4" t="n">
        <v>91</v>
      </c>
      <c r="E232" s="4" t="inlineStr">
        <is>
          <t>buen estado</t>
        </is>
      </c>
      <c r="F232" s="22" t="n">
        <v>330000</v>
      </c>
      <c r="G232" s="23" t="n">
        <v>3626.37</v>
      </c>
      <c r="H232" s="22" t="n">
        <v>309400</v>
      </c>
      <c r="I232" s="23" t="n">
        <v>3400</v>
      </c>
      <c r="J232" s="18" t="n">
        <v>0.06660000000000001</v>
      </c>
      <c r="K232" s="24" t="n">
        <v>33.4</v>
      </c>
      <c r="L232" s="4" t="n">
        <v>5</v>
      </c>
      <c r="M232" s="4" t="inlineStr">
        <is>
          <t>baja</t>
        </is>
      </c>
      <c r="N232" s="4" t="inlineStr">
        <is>
          <t>en linea con comparables</t>
        </is>
      </c>
      <c r="O232" s="4" t="n"/>
    </row>
    <row r="233">
      <c r="A233" s="4" t="inlineStr">
        <is>
          <t>MD-1783</t>
        </is>
      </c>
      <c r="B233" s="21" t="n">
        <v>45941</v>
      </c>
      <c r="C233" s="4" t="inlineStr">
        <is>
          <t>Tetuan</t>
        </is>
      </c>
      <c r="D233" s="4" t="n">
        <v>40</v>
      </c>
      <c r="E233" s="4" t="inlineStr">
        <is>
          <t>buen estado</t>
        </is>
      </c>
      <c r="F233" s="22" t="n">
        <v>265000</v>
      </c>
      <c r="G233" s="23" t="n">
        <v>6625</v>
      </c>
      <c r="H233" s="22" t="n"/>
      <c r="I233" s="23" t="n"/>
      <c r="J233" s="18" t="n"/>
      <c r="K233" s="24" t="n"/>
      <c r="L233" s="4" t="n">
        <v>3</v>
      </c>
      <c r="M233" s="4" t="inlineStr">
        <is>
          <t>sin muestra</t>
        </is>
      </c>
      <c r="N233" s="4" t="inlineStr">
        <is>
          <t>no valorable</t>
        </is>
      </c>
      <c r="O233" s="4" t="inlineStr">
        <is>
          <t>ventana inicial sin histórico</t>
        </is>
      </c>
    </row>
    <row r="234">
      <c r="A234" s="4" t="inlineStr">
        <is>
          <t>MD-0260</t>
        </is>
      </c>
      <c r="B234" s="21" t="n">
        <v>45941</v>
      </c>
      <c r="C234" s="4" t="inlineStr">
        <is>
          <t>Tetuan</t>
        </is>
      </c>
      <c r="D234" s="4" t="n">
        <v>48</v>
      </c>
      <c r="E234" s="4" t="inlineStr">
        <is>
          <t>buen estado</t>
        </is>
      </c>
      <c r="F234" s="22" t="n">
        <v>200000</v>
      </c>
      <c r="G234" s="23" t="n">
        <v>4166.67</v>
      </c>
      <c r="H234" s="22" t="n"/>
      <c r="I234" s="23" t="n"/>
      <c r="J234" s="18" t="n"/>
      <c r="K234" s="24" t="n"/>
      <c r="L234" s="4" t="n">
        <v>2</v>
      </c>
      <c r="M234" s="4" t="inlineStr">
        <is>
          <t>sin muestra</t>
        </is>
      </c>
      <c r="N234" s="4" t="inlineStr">
        <is>
          <t>no valorable</t>
        </is>
      </c>
      <c r="O234" s="4" t="inlineStr">
        <is>
          <t>ventana inicial sin histórico</t>
        </is>
      </c>
    </row>
    <row r="235">
      <c r="A235" s="4" t="inlineStr">
        <is>
          <t>MD-1052</t>
        </is>
      </c>
      <c r="B235" s="21" t="n">
        <v>45941</v>
      </c>
      <c r="C235" s="4" t="inlineStr">
        <is>
          <t>Centro</t>
        </is>
      </c>
      <c r="D235" s="4" t="n">
        <v>46</v>
      </c>
      <c r="E235" s="4" t="inlineStr">
        <is>
          <t>a reformar</t>
        </is>
      </c>
      <c r="F235" s="22" t="n">
        <v>262000</v>
      </c>
      <c r="G235" s="23" t="n">
        <v>5695.65</v>
      </c>
      <c r="H235" s="22" t="n"/>
      <c r="I235" s="23" t="n"/>
      <c r="J235" s="18" t="n"/>
      <c r="K235" s="24" t="n"/>
      <c r="L235" s="4" t="n">
        <v>0</v>
      </c>
      <c r="M235" s="4" t="inlineStr">
        <is>
          <t>sin muestra</t>
        </is>
      </c>
      <c r="N235" s="4" t="inlineStr">
        <is>
          <t>no valorable</t>
        </is>
      </c>
      <c r="O235" s="4" t="inlineStr">
        <is>
          <t>ventana inicial sin histórico</t>
        </is>
      </c>
    </row>
    <row r="236">
      <c r="A236" s="4" t="inlineStr">
        <is>
          <t>MD-1124</t>
        </is>
      </c>
      <c r="B236" s="21" t="n">
        <v>45941</v>
      </c>
      <c r="C236" s="4" t="inlineStr">
        <is>
          <t>Vicalvaro</t>
        </is>
      </c>
      <c r="D236" s="4" t="n">
        <v>170</v>
      </c>
      <c r="E236" s="4" t="inlineStr">
        <is>
          <t>reformado</t>
        </is>
      </c>
      <c r="F236" s="22" t="n">
        <v>509000</v>
      </c>
      <c r="G236" s="23" t="n">
        <v>2994.12</v>
      </c>
      <c r="H236" s="22" t="n"/>
      <c r="I236" s="23" t="n"/>
      <c r="J236" s="18" t="n"/>
      <c r="K236" s="24" t="n"/>
      <c r="L236" s="4" t="n">
        <v>3</v>
      </c>
      <c r="M236" s="4" t="inlineStr">
        <is>
          <t>sin muestra</t>
        </is>
      </c>
      <c r="N236" s="4" t="inlineStr">
        <is>
          <t>no valorable</t>
        </is>
      </c>
      <c r="O236" s="4" t="inlineStr">
        <is>
          <t>ventana inicial sin histórico</t>
        </is>
      </c>
    </row>
    <row r="237">
      <c r="A237" s="4" t="inlineStr">
        <is>
          <t>MD-0837</t>
        </is>
      </c>
      <c r="B237" s="21" t="n">
        <v>45941</v>
      </c>
      <c r="C237" s="4" t="inlineStr">
        <is>
          <t>Salamanca</t>
        </is>
      </c>
      <c r="D237" s="4" t="n">
        <v>177</v>
      </c>
      <c r="E237" s="4" t="inlineStr">
        <is>
          <t>buen estado</t>
        </is>
      </c>
      <c r="F237" s="22" t="n">
        <v>90000</v>
      </c>
      <c r="G237" s="23" t="n">
        <v>508.47</v>
      </c>
      <c r="H237" s="22" t="n"/>
      <c r="I237" s="23" t="n"/>
      <c r="J237" s="18" t="n"/>
      <c r="K237" s="24" t="n"/>
      <c r="L237" s="4" t="n">
        <v>2</v>
      </c>
      <c r="M237" s="4" t="inlineStr">
        <is>
          <t>sin muestra</t>
        </is>
      </c>
      <c r="N237" s="4" t="inlineStr">
        <is>
          <t>no valorable</t>
        </is>
      </c>
      <c r="O237" s="4" t="inlineStr">
        <is>
          <t>ventana inicial sin histórico</t>
        </is>
      </c>
    </row>
    <row r="238">
      <c r="A238" s="4" t="inlineStr">
        <is>
          <t>MD-0151</t>
        </is>
      </c>
      <c r="B238" s="21" t="n">
        <v>45942</v>
      </c>
      <c r="C238" s="4" t="inlineStr">
        <is>
          <t>Moratalaz</t>
        </is>
      </c>
      <c r="D238" s="4" t="n">
        <v>69</v>
      </c>
      <c r="E238" s="4" t="inlineStr">
        <is>
          <t>reformado</t>
        </is>
      </c>
      <c r="F238" s="22" t="n">
        <v>269000</v>
      </c>
      <c r="G238" s="23" t="n">
        <v>3898.55</v>
      </c>
      <c r="H238" s="22" t="n"/>
      <c r="I238" s="23" t="n"/>
      <c r="J238" s="18" t="n"/>
      <c r="K238" s="24" t="n"/>
      <c r="L238" s="4" t="n">
        <v>0</v>
      </c>
      <c r="M238" s="4" t="inlineStr">
        <is>
          <t>sin muestra</t>
        </is>
      </c>
      <c r="N238" s="4" t="inlineStr">
        <is>
          <t>no valorable</t>
        </is>
      </c>
      <c r="O238" s="4" t="inlineStr">
        <is>
          <t>ventana inicial sin histórico</t>
        </is>
      </c>
    </row>
    <row r="239">
      <c r="A239" s="4" t="inlineStr">
        <is>
          <t>MD-1714</t>
        </is>
      </c>
      <c r="B239" s="21" t="n">
        <v>45942</v>
      </c>
      <c r="C239" s="4" t="inlineStr">
        <is>
          <t>Tetuan</t>
        </is>
      </c>
      <c r="D239" s="4" t="n">
        <v>171</v>
      </c>
      <c r="E239" s="4" t="inlineStr">
        <is>
          <t>a reformar</t>
        </is>
      </c>
      <c r="F239" s="22" t="n">
        <v>648000</v>
      </c>
      <c r="G239" s="23" t="n">
        <v>3789.47</v>
      </c>
      <c r="H239" s="22" t="n"/>
      <c r="I239" s="23" t="n"/>
      <c r="J239" s="18" t="n"/>
      <c r="K239" s="24" t="n"/>
      <c r="L239" s="4" t="n">
        <v>0</v>
      </c>
      <c r="M239" s="4" t="inlineStr">
        <is>
          <t>sin muestra</t>
        </is>
      </c>
      <c r="N239" s="4" t="inlineStr">
        <is>
          <t>no valorable</t>
        </is>
      </c>
      <c r="O239" s="4" t="inlineStr">
        <is>
          <t>ventana inicial sin histórico</t>
        </is>
      </c>
    </row>
    <row r="240">
      <c r="A240" s="4" t="inlineStr">
        <is>
          <t>MD-0189</t>
        </is>
      </c>
      <c r="B240" s="21" t="n">
        <v>45942</v>
      </c>
      <c r="C240" s="4" t="inlineStr">
        <is>
          <t>Arganzuela</t>
        </is>
      </c>
      <c r="D240" s="4" t="n">
        <v>100</v>
      </c>
      <c r="E240" s="4" t="inlineStr">
        <is>
          <t>buen estado</t>
        </is>
      </c>
      <c r="F240" s="22" t="n">
        <v>505000</v>
      </c>
      <c r="G240" s="23" t="n">
        <v>5050</v>
      </c>
      <c r="H240" s="22" t="n"/>
      <c r="I240" s="23" t="n"/>
      <c r="J240" s="18" t="n"/>
      <c r="K240" s="24" t="n"/>
      <c r="L240" s="4" t="n">
        <v>3</v>
      </c>
      <c r="M240" s="4" t="inlineStr">
        <is>
          <t>sin muestra</t>
        </is>
      </c>
      <c r="N240" s="4" t="inlineStr">
        <is>
          <t>no valorable</t>
        </is>
      </c>
      <c r="O240" s="4" t="inlineStr">
        <is>
          <t>ventana inicial sin histórico</t>
        </is>
      </c>
    </row>
    <row r="241">
      <c r="A241" s="4" t="inlineStr">
        <is>
          <t>MD-0106</t>
        </is>
      </c>
      <c r="B241" s="21" t="n">
        <v>45942</v>
      </c>
      <c r="C241" s="4" t="inlineStr">
        <is>
          <t>Vicalvaro</t>
        </is>
      </c>
      <c r="D241" s="4" t="n">
        <v>171</v>
      </c>
      <c r="E241" s="4" t="inlineStr">
        <is>
          <t>buen estado</t>
        </is>
      </c>
      <c r="F241" s="22" t="n">
        <v>541000</v>
      </c>
      <c r="G241" s="23" t="n">
        <v>3163.74</v>
      </c>
      <c r="H241" s="22" t="n"/>
      <c r="I241" s="23" t="n"/>
      <c r="J241" s="18" t="n"/>
      <c r="K241" s="24" t="n"/>
      <c r="L241" s="4" t="n">
        <v>4</v>
      </c>
      <c r="M241" s="4" t="inlineStr">
        <is>
          <t>sin muestra</t>
        </is>
      </c>
      <c r="N241" s="4" t="inlineStr">
        <is>
          <t>no valorable</t>
        </is>
      </c>
      <c r="O241" s="4" t="inlineStr">
        <is>
          <t>ventana inicial sin histórico</t>
        </is>
      </c>
    </row>
    <row r="242">
      <c r="A242" s="4" t="inlineStr">
        <is>
          <t>MD-1757</t>
        </is>
      </c>
      <c r="B242" s="21" t="n">
        <v>45942</v>
      </c>
      <c r="C242" s="4" t="inlineStr">
        <is>
          <t>Centro</t>
        </is>
      </c>
      <c r="D242" s="4" t="n">
        <v>155</v>
      </c>
      <c r="E242" s="4" t="inlineStr">
        <is>
          <t>reformado</t>
        </is>
      </c>
      <c r="F242" s="22" t="n">
        <v>459000</v>
      </c>
      <c r="G242" s="23" t="n">
        <v>2961.29</v>
      </c>
      <c r="H242" s="22" t="n"/>
      <c r="I242" s="23" t="n"/>
      <c r="J242" s="18" t="n"/>
      <c r="K242" s="24" t="n"/>
      <c r="L242" s="4" t="n">
        <v>1</v>
      </c>
      <c r="M242" s="4" t="inlineStr">
        <is>
          <t>sin muestra</t>
        </is>
      </c>
      <c r="N242" s="4" t="inlineStr">
        <is>
          <t>no valorable</t>
        </is>
      </c>
      <c r="O242" s="4" t="inlineStr">
        <is>
          <t>ventana inicial sin histórico</t>
        </is>
      </c>
    </row>
    <row r="243">
      <c r="A243" s="4" t="inlineStr">
        <is>
          <t>MD-0255</t>
        </is>
      </c>
      <c r="B243" s="21" t="n">
        <v>45943</v>
      </c>
      <c r="C243" s="4" t="inlineStr">
        <is>
          <t>San Blas-Canillejas</t>
        </is>
      </c>
      <c r="D243" s="4" t="n">
        <v>85</v>
      </c>
      <c r="E243" s="4" t="inlineStr">
        <is>
          <t>obra nueva</t>
        </is>
      </c>
      <c r="F243" s="22" t="n">
        <v>256000</v>
      </c>
      <c r="G243" s="23" t="n">
        <v>3011.76</v>
      </c>
      <c r="H243" s="22" t="n"/>
      <c r="I243" s="23" t="n"/>
      <c r="J243" s="18" t="n"/>
      <c r="K243" s="24" t="n"/>
      <c r="L243" s="4" t="n">
        <v>1</v>
      </c>
      <c r="M243" s="4" t="inlineStr">
        <is>
          <t>sin muestra</t>
        </is>
      </c>
      <c r="N243" s="4" t="inlineStr">
        <is>
          <t>no valorable</t>
        </is>
      </c>
      <c r="O243" s="4" t="inlineStr">
        <is>
          <t>ventana inicial sin histórico</t>
        </is>
      </c>
    </row>
    <row r="244">
      <c r="A244" s="4" t="inlineStr">
        <is>
          <t>MD-0745</t>
        </is>
      </c>
      <c r="B244" s="21" t="n">
        <v>45943</v>
      </c>
      <c r="C244" s="4" t="inlineStr">
        <is>
          <t>Puente de Vallecas</t>
        </is>
      </c>
      <c r="D244" s="4" t="n">
        <v>62</v>
      </c>
      <c r="E244" s="4" t="inlineStr">
        <is>
          <t>buen estado</t>
        </is>
      </c>
      <c r="F244" s="22" t="n">
        <v>166000</v>
      </c>
      <c r="G244" s="23" t="n">
        <v>2677.42</v>
      </c>
      <c r="H244" s="22" t="n">
        <v>177155</v>
      </c>
      <c r="I244" s="23" t="n">
        <v>2857.33</v>
      </c>
      <c r="J244" s="18" t="n">
        <v>-0.063</v>
      </c>
      <c r="K244" s="24" t="n">
        <v>65.7</v>
      </c>
      <c r="L244" s="4" t="n">
        <v>15</v>
      </c>
      <c r="M244" s="4" t="inlineStr">
        <is>
          <t>alta</t>
        </is>
      </c>
      <c r="N244" s="4" t="inlineStr">
        <is>
          <t>en linea con comparables</t>
        </is>
      </c>
      <c r="O244" s="4" t="n"/>
    </row>
    <row r="245">
      <c r="A245" s="4" t="inlineStr">
        <is>
          <t>MD-0280</t>
        </is>
      </c>
      <c r="B245" s="21" t="n">
        <v>45943</v>
      </c>
      <c r="C245" s="4" t="inlineStr">
        <is>
          <t>Salamanca</t>
        </is>
      </c>
      <c r="D245" s="4" t="n">
        <v>57</v>
      </c>
      <c r="E245" s="4" t="inlineStr">
        <is>
          <t>a reformar</t>
        </is>
      </c>
      <c r="F245" s="22" t="n">
        <v>318000</v>
      </c>
      <c r="G245" s="23" t="n">
        <v>5578.95</v>
      </c>
      <c r="H245" s="22" t="n"/>
      <c r="I245" s="23" t="n"/>
      <c r="J245" s="18" t="n"/>
      <c r="K245" s="24" t="n"/>
      <c r="L245" s="4" t="n">
        <v>4</v>
      </c>
      <c r="M245" s="4" t="inlineStr">
        <is>
          <t>sin muestra</t>
        </is>
      </c>
      <c r="N245" s="4" t="inlineStr">
        <is>
          <t>no valorable</t>
        </is>
      </c>
      <c r="O245" s="4" t="inlineStr">
        <is>
          <t>ventana inicial sin histórico</t>
        </is>
      </c>
    </row>
    <row r="246">
      <c r="A246" s="4" t="inlineStr">
        <is>
          <t>MD-0148</t>
        </is>
      </c>
      <c r="B246" s="21" t="n">
        <v>45943</v>
      </c>
      <c r="C246" s="4" t="inlineStr">
        <is>
          <t>Puente de Vallecas</t>
        </is>
      </c>
      <c r="D246" s="4" t="n">
        <v>85</v>
      </c>
      <c r="E246" s="4" t="inlineStr">
        <is>
          <t>buen estado</t>
        </is>
      </c>
      <c r="F246" s="22" t="n">
        <v>274000</v>
      </c>
      <c r="G246" s="23" t="n">
        <v>3223.53</v>
      </c>
      <c r="H246" s="22" t="n">
        <v>262223</v>
      </c>
      <c r="I246" s="23" t="n">
        <v>3084.97</v>
      </c>
      <c r="J246" s="18" t="n">
        <v>0.0449</v>
      </c>
      <c r="K246" s="24" t="n">
        <v>38.8</v>
      </c>
      <c r="L246" s="4" t="n">
        <v>13</v>
      </c>
      <c r="M246" s="4" t="inlineStr">
        <is>
          <t>media</t>
        </is>
      </c>
      <c r="N246" s="4" t="inlineStr">
        <is>
          <t>en linea con comparables</t>
        </is>
      </c>
      <c r="O246" s="4" t="n"/>
    </row>
    <row r="247">
      <c r="A247" s="4" t="inlineStr">
        <is>
          <t>MD-0952</t>
        </is>
      </c>
      <c r="B247" s="21" t="n">
        <v>45943</v>
      </c>
      <c r="C247" s="4" t="inlineStr">
        <is>
          <t>Moncloa-Aravaca</t>
        </is>
      </c>
      <c r="D247" s="4" t="n">
        <v>130</v>
      </c>
      <c r="E247" s="4" t="inlineStr">
        <is>
          <t>buen estado</t>
        </is>
      </c>
      <c r="F247" s="22" t="n">
        <v>616000</v>
      </c>
      <c r="G247" s="23" t="n">
        <v>4738.46</v>
      </c>
      <c r="H247" s="22" t="n"/>
      <c r="I247" s="23" t="n"/>
      <c r="J247" s="18" t="n"/>
      <c r="K247" s="24" t="n"/>
      <c r="L247" s="4" t="n">
        <v>0</v>
      </c>
      <c r="M247" s="4" t="inlineStr">
        <is>
          <t>sin muestra</t>
        </is>
      </c>
      <c r="N247" s="4" t="inlineStr">
        <is>
          <t>no valorable</t>
        </is>
      </c>
      <c r="O247" s="4" t="inlineStr">
        <is>
          <t>ventana inicial sin histórico</t>
        </is>
      </c>
    </row>
    <row r="248">
      <c r="A248" s="4" t="inlineStr">
        <is>
          <t>MD-1360</t>
        </is>
      </c>
      <c r="B248" s="21" t="n">
        <v>45943</v>
      </c>
      <c r="C248" s="4" t="inlineStr">
        <is>
          <t>San Blas-Canillejas</t>
        </is>
      </c>
      <c r="D248" s="4" t="n">
        <v>40</v>
      </c>
      <c r="E248" s="4" t="inlineStr">
        <is>
          <t>buen estado</t>
        </is>
      </c>
      <c r="F248" s="22" t="n">
        <v>134000</v>
      </c>
      <c r="G248" s="23" t="n">
        <v>3350</v>
      </c>
      <c r="H248" s="22" t="n"/>
      <c r="I248" s="23" t="n"/>
      <c r="J248" s="18" t="n"/>
      <c r="K248" s="24" t="n"/>
      <c r="L248" s="4" t="n">
        <v>2</v>
      </c>
      <c r="M248" s="4" t="inlineStr">
        <is>
          <t>sin muestra</t>
        </is>
      </c>
      <c r="N248" s="4" t="inlineStr">
        <is>
          <t>no valorable</t>
        </is>
      </c>
      <c r="O248" s="4" t="inlineStr">
        <is>
          <t>ventana inicial sin histórico</t>
        </is>
      </c>
    </row>
    <row r="249">
      <c r="A249" s="4" t="inlineStr">
        <is>
          <t>MD-0009</t>
        </is>
      </c>
      <c r="B249" s="21" t="n">
        <v>45944</v>
      </c>
      <c r="C249" s="4" t="inlineStr">
        <is>
          <t>San Blas-Canillejas</t>
        </is>
      </c>
      <c r="D249" s="4" t="n">
        <v>40</v>
      </c>
      <c r="E249" s="4" t="inlineStr">
        <is>
          <t>buen estado</t>
        </is>
      </c>
      <c r="F249" s="22" t="n">
        <v>185000</v>
      </c>
      <c r="G249" s="23" t="n">
        <v>4625</v>
      </c>
      <c r="H249" s="22" t="n"/>
      <c r="I249" s="23" t="n"/>
      <c r="J249" s="18" t="n"/>
      <c r="K249" s="24" t="n"/>
      <c r="L249" s="4" t="n">
        <v>3</v>
      </c>
      <c r="M249" s="4" t="inlineStr">
        <is>
          <t>sin muestra</t>
        </is>
      </c>
      <c r="N249" s="4" t="inlineStr">
        <is>
          <t>no valorable</t>
        </is>
      </c>
      <c r="O249" s="4" t="inlineStr">
        <is>
          <t>ventana inicial sin histórico</t>
        </is>
      </c>
    </row>
    <row r="250">
      <c r="A250" s="4" t="inlineStr">
        <is>
          <t>MD-0739</t>
        </is>
      </c>
      <c r="B250" s="21" t="n">
        <v>45944</v>
      </c>
      <c r="C250" s="4" t="inlineStr">
        <is>
          <t>Retiro</t>
        </is>
      </c>
      <c r="D250" s="4" t="n">
        <v>68</v>
      </c>
      <c r="E250" s="4" t="inlineStr">
        <is>
          <t>a reformar</t>
        </is>
      </c>
      <c r="F250" s="22" t="n">
        <v>311000</v>
      </c>
      <c r="G250" s="23" t="n">
        <v>4573.53</v>
      </c>
      <c r="H250" s="22" t="n"/>
      <c r="I250" s="23" t="n"/>
      <c r="J250" s="18" t="n"/>
      <c r="K250" s="24" t="n"/>
      <c r="L250" s="4" t="n">
        <v>3</v>
      </c>
      <c r="M250" s="4" t="inlineStr">
        <is>
          <t>sin muestra</t>
        </is>
      </c>
      <c r="N250" s="4" t="inlineStr">
        <is>
          <t>no valorable</t>
        </is>
      </c>
      <c r="O250" s="4" t="inlineStr">
        <is>
          <t>ventana inicial sin histórico</t>
        </is>
      </c>
    </row>
    <row r="251">
      <c r="A251" s="4" t="inlineStr">
        <is>
          <t>MD-0560</t>
        </is>
      </c>
      <c r="B251" s="21" t="n">
        <v>45944</v>
      </c>
      <c r="C251" s="4" t="inlineStr">
        <is>
          <t>Retiro</t>
        </is>
      </c>
      <c r="D251" s="4" t="n">
        <v>81</v>
      </c>
      <c r="E251" s="4" t="inlineStr">
        <is>
          <t>buen estado</t>
        </is>
      </c>
      <c r="F251" s="22" t="n">
        <v>586000</v>
      </c>
      <c r="G251" s="23" t="n">
        <v>7234.57</v>
      </c>
      <c r="H251" s="22" t="n">
        <v>587752</v>
      </c>
      <c r="I251" s="23" t="n">
        <v>7256.2</v>
      </c>
      <c r="J251" s="18" t="n">
        <v>-0.003</v>
      </c>
      <c r="K251" s="24" t="n">
        <v>50.7</v>
      </c>
      <c r="L251" s="4" t="n">
        <v>6</v>
      </c>
      <c r="M251" s="4" t="inlineStr">
        <is>
          <t>baja</t>
        </is>
      </c>
      <c r="N251" s="4" t="inlineStr">
        <is>
          <t>en linea con comparables</t>
        </is>
      </c>
      <c r="O251" s="4" t="n"/>
    </row>
    <row r="252">
      <c r="A252" s="4" t="inlineStr">
        <is>
          <t>MD-0976</t>
        </is>
      </c>
      <c r="B252" s="21" t="n">
        <v>45944</v>
      </c>
      <c r="C252" s="4" t="inlineStr">
        <is>
          <t>Chamberi</t>
        </is>
      </c>
      <c r="D252" s="4" t="n">
        <v>39</v>
      </c>
      <c r="E252" s="4" t="inlineStr">
        <is>
          <t>buen estado</t>
        </is>
      </c>
      <c r="F252" s="22" t="n">
        <v>259000</v>
      </c>
      <c r="G252" s="23" t="n">
        <v>6641.03</v>
      </c>
      <c r="H252" s="22" t="n"/>
      <c r="I252" s="23" t="n"/>
      <c r="J252" s="18" t="n"/>
      <c r="K252" s="24" t="n"/>
      <c r="L252" s="4" t="n">
        <v>1</v>
      </c>
      <c r="M252" s="4" t="inlineStr">
        <is>
          <t>sin muestra</t>
        </is>
      </c>
      <c r="N252" s="4" t="inlineStr">
        <is>
          <t>no valorable</t>
        </is>
      </c>
      <c r="O252" s="4" t="inlineStr">
        <is>
          <t>ventana inicial sin histórico</t>
        </is>
      </c>
    </row>
    <row r="253">
      <c r="A253" s="4" t="inlineStr">
        <is>
          <t>MD-1151</t>
        </is>
      </c>
      <c r="B253" s="21" t="n">
        <v>45944</v>
      </c>
      <c r="C253" s="4" t="inlineStr">
        <is>
          <t>Vicalvaro</t>
        </is>
      </c>
      <c r="D253" s="4" t="n">
        <v>90</v>
      </c>
      <c r="E253" s="4" t="inlineStr">
        <is>
          <t>reformado</t>
        </is>
      </c>
      <c r="F253" s="22" t="n">
        <v>344000</v>
      </c>
      <c r="G253" s="23" t="n">
        <v>3822.22</v>
      </c>
      <c r="H253" s="22" t="n">
        <v>331974</v>
      </c>
      <c r="I253" s="23" t="n">
        <v>3688.6</v>
      </c>
      <c r="J253" s="18" t="n">
        <v>0.0362</v>
      </c>
      <c r="K253" s="24" t="n">
        <v>40.9</v>
      </c>
      <c r="L253" s="4" t="n">
        <v>6</v>
      </c>
      <c r="M253" s="4" t="inlineStr">
        <is>
          <t>baja</t>
        </is>
      </c>
      <c r="N253" s="4" t="inlineStr">
        <is>
          <t>en linea con comparables</t>
        </is>
      </c>
      <c r="O253" s="4" t="n"/>
    </row>
    <row r="254">
      <c r="A254" s="4" t="inlineStr">
        <is>
          <t>MD-0120</t>
        </is>
      </c>
      <c r="B254" s="21" t="n">
        <v>45944</v>
      </c>
      <c r="C254" s="4" t="inlineStr">
        <is>
          <t>San Blas-Canillejas</t>
        </is>
      </c>
      <c r="D254" s="4" t="n">
        <v>80</v>
      </c>
      <c r="E254" s="4" t="inlineStr">
        <is>
          <t>buen estado</t>
        </is>
      </c>
      <c r="F254" s="22" t="n">
        <v>272000</v>
      </c>
      <c r="G254" s="23" t="n">
        <v>3400</v>
      </c>
      <c r="H254" s="22" t="n"/>
      <c r="I254" s="23" t="n"/>
      <c r="J254" s="18" t="n"/>
      <c r="K254" s="24" t="n"/>
      <c r="L254" s="4" t="n">
        <v>2</v>
      </c>
      <c r="M254" s="4" t="inlineStr">
        <is>
          <t>sin muestra</t>
        </is>
      </c>
      <c r="N254" s="4" t="inlineStr">
        <is>
          <t>no valorable</t>
        </is>
      </c>
      <c r="O254" s="4" t="inlineStr">
        <is>
          <t>ventana inicial sin histórico</t>
        </is>
      </c>
    </row>
    <row r="255">
      <c r="A255" s="4" t="inlineStr">
        <is>
          <t>MD-0850</t>
        </is>
      </c>
      <c r="B255" s="21" t="n">
        <v>45944</v>
      </c>
      <c r="C255" s="4" t="inlineStr">
        <is>
          <t>Usera</t>
        </is>
      </c>
      <c r="D255" s="4" t="n">
        <v>80</v>
      </c>
      <c r="E255" s="4" t="inlineStr">
        <is>
          <t>a reformar</t>
        </is>
      </c>
      <c r="F255" s="22" t="n">
        <v>164000</v>
      </c>
      <c r="G255" s="23" t="n">
        <v>2050</v>
      </c>
      <c r="H255" s="22" t="n">
        <v>195056</v>
      </c>
      <c r="I255" s="23" t="n">
        <v>2438.2</v>
      </c>
      <c r="J255" s="18" t="n">
        <v>-0.1592</v>
      </c>
      <c r="K255" s="24" t="n">
        <v>89.8</v>
      </c>
      <c r="L255" s="4" t="n">
        <v>5</v>
      </c>
      <c r="M255" s="4" t="inlineStr">
        <is>
          <t>baja</t>
        </is>
      </c>
      <c r="N255" s="4" t="inlineStr">
        <is>
          <t>por debajo de comparables</t>
        </is>
      </c>
      <c r="O255" s="4" t="n"/>
    </row>
    <row r="256">
      <c r="A256" s="4" t="inlineStr">
        <is>
          <t>MD-1716</t>
        </is>
      </c>
      <c r="B256" s="21" t="n">
        <v>45944</v>
      </c>
      <c r="C256" s="4" t="inlineStr">
        <is>
          <t>Puente de Vallecas</t>
        </is>
      </c>
      <c r="D256" s="4" t="n">
        <v>52</v>
      </c>
      <c r="E256" s="4" t="inlineStr">
        <is>
          <t>buen estado</t>
        </is>
      </c>
      <c r="F256" s="22" t="n">
        <v>150000</v>
      </c>
      <c r="G256" s="23" t="n">
        <v>2884.62</v>
      </c>
      <c r="H256" s="22" t="n">
        <v>142945</v>
      </c>
      <c r="I256" s="23" t="n">
        <v>2748.94</v>
      </c>
      <c r="J256" s="18" t="n">
        <v>0.0494</v>
      </c>
      <c r="K256" s="24" t="n">
        <v>37.7</v>
      </c>
      <c r="L256" s="4" t="n">
        <v>12</v>
      </c>
      <c r="M256" s="4" t="inlineStr">
        <is>
          <t>media</t>
        </is>
      </c>
      <c r="N256" s="4" t="inlineStr">
        <is>
          <t>en linea con comparables</t>
        </is>
      </c>
      <c r="O256" s="4" t="n"/>
    </row>
    <row r="257">
      <c r="A257" s="4" t="inlineStr">
        <is>
          <t>MD-1791</t>
        </is>
      </c>
      <c r="B257" s="21" t="n">
        <v>45944</v>
      </c>
      <c r="C257" s="4" t="inlineStr">
        <is>
          <t>Chamberi</t>
        </is>
      </c>
      <c r="D257" s="4" t="n">
        <v>100</v>
      </c>
      <c r="E257" s="4" t="inlineStr">
        <is>
          <t>buen estado</t>
        </is>
      </c>
      <c r="F257" s="22" t="n">
        <v>693000</v>
      </c>
      <c r="G257" s="23" t="n">
        <v>6930</v>
      </c>
      <c r="H257" s="22" t="n"/>
      <c r="I257" s="23" t="n"/>
      <c r="J257" s="18" t="n"/>
      <c r="K257" s="24" t="n"/>
      <c r="L257" s="4" t="n">
        <v>3</v>
      </c>
      <c r="M257" s="4" t="inlineStr">
        <is>
          <t>sin muestra</t>
        </is>
      </c>
      <c r="N257" s="4" t="inlineStr">
        <is>
          <t>no valorable</t>
        </is>
      </c>
      <c r="O257" s="4" t="inlineStr">
        <is>
          <t>ventana inicial sin histórico</t>
        </is>
      </c>
    </row>
    <row r="258">
      <c r="A258" s="4" t="inlineStr">
        <is>
          <t>MD-1670</t>
        </is>
      </c>
      <c r="B258" s="21" t="n">
        <v>45944</v>
      </c>
      <c r="C258" s="4" t="inlineStr">
        <is>
          <t>Villa de Vallecas</t>
        </is>
      </c>
      <c r="D258" s="4" t="n">
        <v>74</v>
      </c>
      <c r="E258" s="4" t="inlineStr">
        <is>
          <t>reformado</t>
        </is>
      </c>
      <c r="F258" s="22" t="n">
        <v>284000</v>
      </c>
      <c r="G258" s="23" t="n">
        <v>3837.84</v>
      </c>
      <c r="H258" s="22" t="n"/>
      <c r="I258" s="23" t="n"/>
      <c r="J258" s="18" t="n"/>
      <c r="K258" s="24" t="n"/>
      <c r="L258" s="4" t="n">
        <v>1</v>
      </c>
      <c r="M258" s="4" t="inlineStr">
        <is>
          <t>sin muestra</t>
        </is>
      </c>
      <c r="N258" s="4" t="inlineStr">
        <is>
          <t>no valorable</t>
        </is>
      </c>
      <c r="O258" s="4" t="inlineStr">
        <is>
          <t>ventana inicial sin histórico</t>
        </is>
      </c>
    </row>
    <row r="259">
      <c r="A259" s="4" t="inlineStr">
        <is>
          <t>MD-0483</t>
        </is>
      </c>
      <c r="B259" s="21" t="n">
        <v>45945</v>
      </c>
      <c r="C259" s="4" t="inlineStr">
        <is>
          <t>Retiro</t>
        </is>
      </c>
      <c r="D259" s="4" t="n">
        <v>117</v>
      </c>
      <c r="E259" s="4" t="inlineStr">
        <is>
          <t>obra nueva</t>
        </is>
      </c>
      <c r="F259" s="22" t="n">
        <v>801000</v>
      </c>
      <c r="G259" s="23" t="n">
        <v>6846.15</v>
      </c>
      <c r="H259" s="22" t="n"/>
      <c r="I259" s="23" t="n"/>
      <c r="J259" s="18" t="n"/>
      <c r="K259" s="24" t="n"/>
      <c r="L259" s="4" t="n">
        <v>2</v>
      </c>
      <c r="M259" s="4" t="inlineStr">
        <is>
          <t>sin muestra</t>
        </is>
      </c>
      <c r="N259" s="4" t="inlineStr">
        <is>
          <t>no valorable</t>
        </is>
      </c>
      <c r="O259" s="4" t="inlineStr">
        <is>
          <t>ventana inicial sin histórico</t>
        </is>
      </c>
    </row>
    <row r="260">
      <c r="A260" s="4" t="inlineStr">
        <is>
          <t>MD-1051</t>
        </is>
      </c>
      <c r="B260" s="21" t="n">
        <v>45945</v>
      </c>
      <c r="C260" s="4" t="inlineStr">
        <is>
          <t>Latina</t>
        </is>
      </c>
      <c r="D260" s="4" t="n">
        <v>72</v>
      </c>
      <c r="E260" s="4" t="inlineStr">
        <is>
          <t>buen estado</t>
        </is>
      </c>
      <c r="F260" s="22" t="n">
        <v>227000</v>
      </c>
      <c r="G260" s="23" t="n">
        <v>3152.78</v>
      </c>
      <c r="H260" s="22" t="n">
        <v>232048</v>
      </c>
      <c r="I260" s="23" t="n">
        <v>3222.89</v>
      </c>
      <c r="J260" s="18" t="n">
        <v>-0.0218</v>
      </c>
      <c r="K260" s="24" t="n">
        <v>55.4</v>
      </c>
      <c r="L260" s="4" t="n">
        <v>11</v>
      </c>
      <c r="M260" s="4" t="inlineStr">
        <is>
          <t>media</t>
        </is>
      </c>
      <c r="N260" s="4" t="inlineStr">
        <is>
          <t>en linea con comparables</t>
        </is>
      </c>
      <c r="O260" s="4" t="n"/>
    </row>
    <row r="261">
      <c r="A261" s="4" t="inlineStr">
        <is>
          <t>MD-1353</t>
        </is>
      </c>
      <c r="B261" s="21" t="n">
        <v>45945</v>
      </c>
      <c r="C261" s="4" t="inlineStr">
        <is>
          <t>Latina</t>
        </is>
      </c>
      <c r="D261" s="4" t="n">
        <v>79</v>
      </c>
      <c r="E261" s="4" t="inlineStr">
        <is>
          <t>buen estado</t>
        </is>
      </c>
      <c r="F261" s="22" t="n">
        <v>241000</v>
      </c>
      <c r="G261" s="23" t="n">
        <v>3050.63</v>
      </c>
      <c r="H261" s="22" t="n">
        <v>240816</v>
      </c>
      <c r="I261" s="23" t="n">
        <v>3048.3</v>
      </c>
      <c r="J261" s="18" t="n">
        <v>0.0008</v>
      </c>
      <c r="K261" s="24" t="n">
        <v>49.8</v>
      </c>
      <c r="L261" s="4" t="n">
        <v>11</v>
      </c>
      <c r="M261" s="4" t="inlineStr">
        <is>
          <t>media</t>
        </is>
      </c>
      <c r="N261" s="4" t="inlineStr">
        <is>
          <t>en linea con comparables</t>
        </is>
      </c>
      <c r="O261" s="4" t="n"/>
    </row>
    <row r="262">
      <c r="A262" s="4" t="inlineStr">
        <is>
          <t>MD-0417</t>
        </is>
      </c>
      <c r="B262" s="21" t="n">
        <v>45945</v>
      </c>
      <c r="C262" s="4" t="inlineStr">
        <is>
          <t>Centro</t>
        </is>
      </c>
      <c r="D262" s="4" t="n">
        <v>83</v>
      </c>
      <c r="E262" s="4" t="inlineStr">
        <is>
          <t>a reformar</t>
        </is>
      </c>
      <c r="F262" s="22" t="n">
        <v>536000</v>
      </c>
      <c r="G262" s="23" t="n">
        <v>6457.83</v>
      </c>
      <c r="H262" s="22" t="n"/>
      <c r="I262" s="23" t="n"/>
      <c r="J262" s="18" t="n"/>
      <c r="K262" s="24" t="n"/>
      <c r="L262" s="4" t="n">
        <v>3</v>
      </c>
      <c r="M262" s="4" t="inlineStr">
        <is>
          <t>sin muestra</t>
        </is>
      </c>
      <c r="N262" s="4" t="inlineStr">
        <is>
          <t>no valorable</t>
        </is>
      </c>
      <c r="O262" s="4" t="inlineStr">
        <is>
          <t>ventana inicial sin histórico</t>
        </is>
      </c>
    </row>
    <row r="263">
      <c r="A263" s="4" t="inlineStr">
        <is>
          <t>MD-0140</t>
        </is>
      </c>
      <c r="B263" s="21" t="n">
        <v>45945</v>
      </c>
      <c r="C263" s="4" t="inlineStr">
        <is>
          <t>Ciudad Lineal</t>
        </is>
      </c>
      <c r="D263" s="4" t="n">
        <v>64</v>
      </c>
      <c r="E263" s="4" t="inlineStr">
        <is>
          <t>a reformar</t>
        </is>
      </c>
      <c r="F263" s="22" t="n">
        <v>211000</v>
      </c>
      <c r="G263" s="23" t="n">
        <v>3296.88</v>
      </c>
      <c r="H263" s="22" t="n"/>
      <c r="I263" s="23" t="n"/>
      <c r="J263" s="18" t="n"/>
      <c r="K263" s="24" t="n"/>
      <c r="L263" s="4" t="n">
        <v>4</v>
      </c>
      <c r="M263" s="4" t="inlineStr">
        <is>
          <t>sin muestra</t>
        </is>
      </c>
      <c r="N263" s="4" t="inlineStr">
        <is>
          <t>no valorable</t>
        </is>
      </c>
      <c r="O263" s="4" t="inlineStr">
        <is>
          <t>ventana inicial sin histórico</t>
        </is>
      </c>
    </row>
    <row r="264">
      <c r="A264" s="4" t="inlineStr">
        <is>
          <t>MD-0159</t>
        </is>
      </c>
      <c r="B264" s="21" t="n">
        <v>45945</v>
      </c>
      <c r="C264" s="4" t="inlineStr">
        <is>
          <t>Centro</t>
        </is>
      </c>
      <c r="D264" s="4" t="n">
        <v>169</v>
      </c>
      <c r="E264" s="4" t="inlineStr">
        <is>
          <t>a reformar</t>
        </is>
      </c>
      <c r="F264" s="22" t="n">
        <v>693000</v>
      </c>
      <c r="G264" s="23" t="n">
        <v>4100.59</v>
      </c>
      <c r="H264" s="22" t="n"/>
      <c r="I264" s="23" t="n"/>
      <c r="J264" s="18" t="n"/>
      <c r="K264" s="24" t="n"/>
      <c r="L264" s="4" t="n">
        <v>2</v>
      </c>
      <c r="M264" s="4" t="inlineStr">
        <is>
          <t>sin muestra</t>
        </is>
      </c>
      <c r="N264" s="4" t="inlineStr">
        <is>
          <t>no valorable</t>
        </is>
      </c>
      <c r="O264" s="4" t="inlineStr">
        <is>
          <t>ventana inicial sin histórico</t>
        </is>
      </c>
    </row>
    <row r="265">
      <c r="A265" s="4" t="inlineStr">
        <is>
          <t>MD-0550</t>
        </is>
      </c>
      <c r="B265" s="21" t="n">
        <v>45946</v>
      </c>
      <c r="C265" s="4" t="inlineStr">
        <is>
          <t>Chamartin</t>
        </is>
      </c>
      <c r="D265" s="4" t="n">
        <v>110</v>
      </c>
      <c r="E265" s="4" t="inlineStr">
        <is>
          <t>buen estado</t>
        </is>
      </c>
      <c r="F265" s="22" t="n">
        <v>892000</v>
      </c>
      <c r="G265" s="23" t="n">
        <v>8109.09</v>
      </c>
      <c r="H265" s="22" t="n">
        <v>716634</v>
      </c>
      <c r="I265" s="23" t="n">
        <v>6514.85</v>
      </c>
      <c r="J265" s="18" t="n">
        <v>0.2447</v>
      </c>
      <c r="K265" s="24" t="n">
        <v>0</v>
      </c>
      <c r="L265" s="4" t="n">
        <v>5</v>
      </c>
      <c r="M265" s="4" t="inlineStr">
        <is>
          <t>baja</t>
        </is>
      </c>
      <c r="N265" s="4" t="inlineStr">
        <is>
          <t>por encima de comparables</t>
        </is>
      </c>
      <c r="O265" s="4" t="n"/>
    </row>
    <row r="266">
      <c r="A266" s="4" t="inlineStr">
        <is>
          <t>MD-1312</t>
        </is>
      </c>
      <c r="B266" s="21" t="n">
        <v>45946</v>
      </c>
      <c r="C266" s="4" t="inlineStr">
        <is>
          <t>Chamberi</t>
        </is>
      </c>
      <c r="D266" s="4" t="n">
        <v>77</v>
      </c>
      <c r="E266" s="4" t="inlineStr">
        <is>
          <t>obra nueva</t>
        </is>
      </c>
      <c r="F266" s="22" t="n">
        <v>750000</v>
      </c>
      <c r="G266" s="23" t="n">
        <v>9740.26</v>
      </c>
      <c r="H266" s="22" t="n">
        <v>866188</v>
      </c>
      <c r="I266" s="23" t="n">
        <v>11249.19</v>
      </c>
      <c r="J266" s="18" t="n">
        <v>-0.1341</v>
      </c>
      <c r="K266" s="24" t="n">
        <v>83.5</v>
      </c>
      <c r="L266" s="4" t="n">
        <v>5</v>
      </c>
      <c r="M266" s="4" t="inlineStr">
        <is>
          <t>baja</t>
        </is>
      </c>
      <c r="N266" s="4" t="inlineStr">
        <is>
          <t>por debajo de comparables</t>
        </is>
      </c>
      <c r="O266" s="4" t="n"/>
    </row>
    <row r="267">
      <c r="A267" s="4" t="inlineStr">
        <is>
          <t>MD-1668</t>
        </is>
      </c>
      <c r="B267" s="21" t="n">
        <v>45946</v>
      </c>
      <c r="C267" s="4" t="inlineStr">
        <is>
          <t>Carabanchel</t>
        </is>
      </c>
      <c r="D267" s="4" t="n">
        <v>53</v>
      </c>
      <c r="E267" s="4" t="inlineStr">
        <is>
          <t>reformado</t>
        </is>
      </c>
      <c r="F267" s="22" t="n">
        <v>196000</v>
      </c>
      <c r="G267" s="23" t="n">
        <v>3698.11</v>
      </c>
      <c r="H267" s="22" t="n"/>
      <c r="I267" s="23" t="n"/>
      <c r="J267" s="18" t="n"/>
      <c r="K267" s="24" t="n"/>
      <c r="L267" s="4" t="n">
        <v>3</v>
      </c>
      <c r="M267" s="4" t="inlineStr">
        <is>
          <t>sin muestra</t>
        </is>
      </c>
      <c r="N267" s="4" t="inlineStr">
        <is>
          <t>no valorable</t>
        </is>
      </c>
      <c r="O267" s="4" t="inlineStr">
        <is>
          <t>ventana inicial sin histórico</t>
        </is>
      </c>
    </row>
    <row r="268">
      <c r="A268" s="4" t="inlineStr">
        <is>
          <t>MD-1723</t>
        </is>
      </c>
      <c r="B268" s="21" t="n">
        <v>45946</v>
      </c>
      <c r="C268" s="4" t="inlineStr">
        <is>
          <t>Centro</t>
        </is>
      </c>
      <c r="D268" s="4" t="n">
        <v>121</v>
      </c>
      <c r="E268" s="4" t="inlineStr">
        <is>
          <t>a reformar</t>
        </is>
      </c>
      <c r="F268" s="22" t="n">
        <v>715000</v>
      </c>
      <c r="G268" s="23" t="n">
        <v>5909.09</v>
      </c>
      <c r="H268" s="22" t="n"/>
      <c r="I268" s="23" t="n"/>
      <c r="J268" s="18" t="n"/>
      <c r="K268" s="24" t="n"/>
      <c r="L268" s="4" t="n">
        <v>0</v>
      </c>
      <c r="M268" s="4" t="inlineStr">
        <is>
          <t>sin muestra</t>
        </is>
      </c>
      <c r="N268" s="4" t="inlineStr">
        <is>
          <t>no valorable</t>
        </is>
      </c>
      <c r="O268" s="4" t="inlineStr">
        <is>
          <t>ventana inicial sin histórico</t>
        </is>
      </c>
    </row>
    <row r="269">
      <c r="A269" s="4" t="inlineStr">
        <is>
          <t>MD-0241</t>
        </is>
      </c>
      <c r="B269" s="21" t="n">
        <v>45946</v>
      </c>
      <c r="C269" s="4" t="inlineStr">
        <is>
          <t>Fuencarral-El Pardo</t>
        </is>
      </c>
      <c r="D269" s="4" t="n">
        <v>80</v>
      </c>
      <c r="E269" s="4" t="inlineStr">
        <is>
          <t>buen estado</t>
        </is>
      </c>
      <c r="F269" s="22" t="n">
        <v>377000</v>
      </c>
      <c r="G269" s="23" t="n">
        <v>4712.5</v>
      </c>
      <c r="H269" s="22" t="n">
        <v>412564</v>
      </c>
      <c r="I269" s="23" t="n">
        <v>5157.05</v>
      </c>
      <c r="J269" s="18" t="n">
        <v>-0.0862</v>
      </c>
      <c r="K269" s="24" t="n">
        <v>71.59999999999999</v>
      </c>
      <c r="L269" s="4" t="n">
        <v>6</v>
      </c>
      <c r="M269" s="4" t="inlineStr">
        <is>
          <t>baja</t>
        </is>
      </c>
      <c r="N269" s="4" t="inlineStr">
        <is>
          <t>en linea con comparables</t>
        </is>
      </c>
      <c r="O269" s="4" t="n"/>
    </row>
    <row r="270">
      <c r="A270" s="4" t="inlineStr">
        <is>
          <t>MD-0750</t>
        </is>
      </c>
      <c r="B270" s="21" t="n">
        <v>45947</v>
      </c>
      <c r="C270" s="4" t="inlineStr">
        <is>
          <t>Villa de Vallecas</t>
        </is>
      </c>
      <c r="D270" s="4" t="n">
        <v>70</v>
      </c>
      <c r="E270" s="4" t="inlineStr">
        <is>
          <t>buen estado</t>
        </is>
      </c>
      <c r="F270" s="22" t="n">
        <v>302000</v>
      </c>
      <c r="G270" s="23" t="n">
        <v>4314.29</v>
      </c>
      <c r="H270" s="22" t="n"/>
      <c r="I270" s="23" t="n"/>
      <c r="J270" s="18" t="n"/>
      <c r="K270" s="24" t="n"/>
      <c r="L270" s="4" t="n">
        <v>2</v>
      </c>
      <c r="M270" s="4" t="inlineStr">
        <is>
          <t>sin muestra</t>
        </is>
      </c>
      <c r="N270" s="4" t="inlineStr">
        <is>
          <t>no valorable</t>
        </is>
      </c>
      <c r="O270" s="4" t="inlineStr">
        <is>
          <t>ventana inicial sin histórico</t>
        </is>
      </c>
    </row>
    <row r="271">
      <c r="A271" s="4" t="inlineStr">
        <is>
          <t>MD-1768</t>
        </is>
      </c>
      <c r="B271" s="21" t="n">
        <v>45947</v>
      </c>
      <c r="C271" s="4" t="inlineStr">
        <is>
          <t>Salamanca</t>
        </is>
      </c>
      <c r="D271" s="4" t="n">
        <v>159</v>
      </c>
      <c r="E271" s="4" t="inlineStr">
        <is>
          <t>reformado</t>
        </is>
      </c>
      <c r="F271" s="22" t="n">
        <v>1675000</v>
      </c>
      <c r="G271" s="23" t="n">
        <v>10534.59</v>
      </c>
      <c r="H271" s="22" t="n"/>
      <c r="I271" s="23" t="n"/>
      <c r="J271" s="18" t="n"/>
      <c r="K271" s="24" t="n"/>
      <c r="L271" s="4" t="n">
        <v>3</v>
      </c>
      <c r="M271" s="4" t="inlineStr">
        <is>
          <t>sin muestra</t>
        </is>
      </c>
      <c r="N271" s="4" t="inlineStr">
        <is>
          <t>no valorable</t>
        </is>
      </c>
      <c r="O271" s="4" t="inlineStr">
        <is>
          <t>ventana inicial sin histórico</t>
        </is>
      </c>
    </row>
    <row r="272">
      <c r="A272" s="4" t="inlineStr">
        <is>
          <t>MD-1094</t>
        </is>
      </c>
      <c r="B272" s="21" t="n">
        <v>45947</v>
      </c>
      <c r="C272" s="4" t="inlineStr">
        <is>
          <t>Retiro</t>
        </is>
      </c>
      <c r="D272" s="4" t="n">
        <v>63</v>
      </c>
      <c r="E272" s="4" t="inlineStr">
        <is>
          <t>reformado</t>
        </is>
      </c>
      <c r="F272" s="22" t="n">
        <v>376000</v>
      </c>
      <c r="G272" s="23" t="n">
        <v>5968.25</v>
      </c>
      <c r="H272" s="22" t="n"/>
      <c r="I272" s="23" t="n"/>
      <c r="J272" s="18" t="n"/>
      <c r="K272" s="24" t="n"/>
      <c r="L272" s="4" t="n">
        <v>4</v>
      </c>
      <c r="M272" s="4" t="inlineStr">
        <is>
          <t>sin muestra</t>
        </is>
      </c>
      <c r="N272" s="4" t="inlineStr">
        <is>
          <t>no valorable</t>
        </is>
      </c>
      <c r="O272" s="4" t="inlineStr">
        <is>
          <t>ventana inicial sin histórico</t>
        </is>
      </c>
    </row>
    <row r="273">
      <c r="A273" s="4" t="inlineStr">
        <is>
          <t>MD-1684</t>
        </is>
      </c>
      <c r="B273" s="21" t="n">
        <v>45947</v>
      </c>
      <c r="C273" s="4" t="inlineStr">
        <is>
          <t>Chamartin</t>
        </is>
      </c>
      <c r="D273" s="4" t="n">
        <v>115</v>
      </c>
      <c r="E273" s="4" t="inlineStr">
        <is>
          <t>reformado</t>
        </is>
      </c>
      <c r="F273" s="22" t="n">
        <v>1129000</v>
      </c>
      <c r="G273" s="23" t="n">
        <v>9817.389999999999</v>
      </c>
      <c r="H273" s="22" t="n"/>
      <c r="I273" s="23" t="n"/>
      <c r="J273" s="18" t="n"/>
      <c r="K273" s="24" t="n"/>
      <c r="L273" s="4" t="n">
        <v>4</v>
      </c>
      <c r="M273" s="4" t="inlineStr">
        <is>
          <t>sin muestra</t>
        </is>
      </c>
      <c r="N273" s="4" t="inlineStr">
        <is>
          <t>no valorable</t>
        </is>
      </c>
      <c r="O273" s="4" t="inlineStr">
        <is>
          <t>ventana inicial sin histórico</t>
        </is>
      </c>
    </row>
    <row r="274">
      <c r="A274" s="4" t="inlineStr">
        <is>
          <t>MD-1996</t>
        </is>
      </c>
      <c r="B274" s="21" t="n">
        <v>45947</v>
      </c>
      <c r="C274" s="4" t="inlineStr">
        <is>
          <t>San Blas-Canillejas</t>
        </is>
      </c>
      <c r="D274" s="4" t="n">
        <v>76</v>
      </c>
      <c r="E274" s="4" t="inlineStr">
        <is>
          <t>a reformar</t>
        </is>
      </c>
      <c r="F274" s="22" t="n">
        <v>255000</v>
      </c>
      <c r="G274" s="23" t="n">
        <v>3355.26</v>
      </c>
      <c r="H274" s="22" t="n"/>
      <c r="I274" s="23" t="n"/>
      <c r="J274" s="18" t="n"/>
      <c r="K274" s="24" t="n"/>
      <c r="L274" s="4" t="n">
        <v>4</v>
      </c>
      <c r="M274" s="4" t="inlineStr">
        <is>
          <t>sin muestra</t>
        </is>
      </c>
      <c r="N274" s="4" t="inlineStr">
        <is>
          <t>no valorable</t>
        </is>
      </c>
      <c r="O274" s="4" t="inlineStr">
        <is>
          <t>ventana inicial sin histórico</t>
        </is>
      </c>
    </row>
    <row r="275">
      <c r="A275" s="4" t="inlineStr">
        <is>
          <t>MD-1147</t>
        </is>
      </c>
      <c r="B275" s="21" t="n">
        <v>45948</v>
      </c>
      <c r="C275" s="4" t="inlineStr">
        <is>
          <t>Puente de Vallecas</t>
        </is>
      </c>
      <c r="D275" s="4" t="n">
        <v>35</v>
      </c>
      <c r="E275" s="4" t="inlineStr">
        <is>
          <t>buen estado</t>
        </is>
      </c>
      <c r="F275" s="22" t="n">
        <v>96000</v>
      </c>
      <c r="G275" s="23" t="n">
        <v>2742.86</v>
      </c>
      <c r="H275" s="22" t="n"/>
      <c r="I275" s="23" t="n"/>
      <c r="J275" s="18" t="n"/>
      <c r="K275" s="24" t="n"/>
      <c r="L275" s="4" t="n">
        <v>3</v>
      </c>
      <c r="M275" s="4" t="inlineStr">
        <is>
          <t>sin muestra</t>
        </is>
      </c>
      <c r="N275" s="4" t="inlineStr">
        <is>
          <t>no valorable</t>
        </is>
      </c>
      <c r="O275" s="4" t="inlineStr">
        <is>
          <t>ventana inicial sin histórico</t>
        </is>
      </c>
    </row>
    <row r="276">
      <c r="A276" s="4" t="inlineStr">
        <is>
          <t>MD-0974</t>
        </is>
      </c>
      <c r="B276" s="21" t="n">
        <v>45948</v>
      </c>
      <c r="C276" s="4" t="inlineStr">
        <is>
          <t>Carabanchel</t>
        </is>
      </c>
      <c r="D276" s="4" t="n">
        <v>57</v>
      </c>
      <c r="E276" s="4" t="inlineStr">
        <is>
          <t>buen estado</t>
        </is>
      </c>
      <c r="F276" s="22" t="n">
        <v>175000</v>
      </c>
      <c r="G276" s="23" t="n">
        <v>3070.18</v>
      </c>
      <c r="H276" s="22" t="n">
        <v>166747</v>
      </c>
      <c r="I276" s="23" t="n">
        <v>2925.38</v>
      </c>
      <c r="J276" s="18" t="n">
        <v>0.0495</v>
      </c>
      <c r="K276" s="24" t="n">
        <v>37.6</v>
      </c>
      <c r="L276" s="4" t="n">
        <v>5</v>
      </c>
      <c r="M276" s="4" t="inlineStr">
        <is>
          <t>baja</t>
        </is>
      </c>
      <c r="N276" s="4" t="inlineStr">
        <is>
          <t>en linea con comparables</t>
        </is>
      </c>
      <c r="O276" s="4" t="n"/>
    </row>
    <row r="277">
      <c r="A277" s="4" t="inlineStr">
        <is>
          <t>MD-0666</t>
        </is>
      </c>
      <c r="B277" s="21" t="n">
        <v>45948</v>
      </c>
      <c r="C277" s="4" t="inlineStr">
        <is>
          <t>Vicalvaro</t>
        </is>
      </c>
      <c r="D277" s="4" t="n">
        <v>165</v>
      </c>
      <c r="E277" s="4" t="inlineStr">
        <is>
          <t>reformado</t>
        </is>
      </c>
      <c r="F277" s="22" t="n">
        <v>602000</v>
      </c>
      <c r="G277" s="23" t="n">
        <v>3648.48</v>
      </c>
      <c r="H277" s="22" t="n">
        <v>516663</v>
      </c>
      <c r="I277" s="23" t="n">
        <v>3131.29</v>
      </c>
      <c r="J277" s="18" t="n">
        <v>0.1652</v>
      </c>
      <c r="K277" s="24" t="n">
        <v>8.699999999999999</v>
      </c>
      <c r="L277" s="4" t="n">
        <v>5</v>
      </c>
      <c r="M277" s="4" t="inlineStr">
        <is>
          <t>baja</t>
        </is>
      </c>
      <c r="N277" s="4" t="inlineStr">
        <is>
          <t>por encima de comparables</t>
        </is>
      </c>
      <c r="O277" s="4" t="n"/>
    </row>
    <row r="278">
      <c r="A278" s="4" t="inlineStr">
        <is>
          <t>MD-1278</t>
        </is>
      </c>
      <c r="B278" s="21" t="n">
        <v>45948</v>
      </c>
      <c r="C278" s="4" t="inlineStr">
        <is>
          <t>Moratalaz</t>
        </is>
      </c>
      <c r="D278" s="4" t="n">
        <v>53</v>
      </c>
      <c r="E278" s="4" t="inlineStr">
        <is>
          <t>buen estado</t>
        </is>
      </c>
      <c r="F278" s="22" t="n">
        <v>225000</v>
      </c>
      <c r="G278" s="23" t="n">
        <v>4245.28</v>
      </c>
      <c r="H278" s="22" t="n"/>
      <c r="I278" s="23" t="n"/>
      <c r="J278" s="18" t="n"/>
      <c r="K278" s="24" t="n"/>
      <c r="L278" s="4" t="n">
        <v>0</v>
      </c>
      <c r="M278" s="4" t="inlineStr">
        <is>
          <t>sin muestra</t>
        </is>
      </c>
      <c r="N278" s="4" t="inlineStr">
        <is>
          <t>no valorable</t>
        </is>
      </c>
      <c r="O278" s="4" t="inlineStr">
        <is>
          <t>ventana inicial sin histórico</t>
        </is>
      </c>
    </row>
    <row r="279">
      <c r="A279" s="4" t="inlineStr">
        <is>
          <t>MD-0187</t>
        </is>
      </c>
      <c r="B279" s="21" t="n">
        <v>45948</v>
      </c>
      <c r="C279" s="4" t="inlineStr">
        <is>
          <t>Tetuan</t>
        </is>
      </c>
      <c r="D279" s="4" t="n">
        <v>60</v>
      </c>
      <c r="E279" s="4" t="inlineStr">
        <is>
          <t>obra nueva</t>
        </is>
      </c>
      <c r="F279" s="22" t="n">
        <v>462000</v>
      </c>
      <c r="G279" s="23" t="n">
        <v>7700</v>
      </c>
      <c r="H279" s="22" t="n"/>
      <c r="I279" s="23" t="n"/>
      <c r="J279" s="18" t="n"/>
      <c r="K279" s="24" t="n"/>
      <c r="L279" s="4" t="n">
        <v>3</v>
      </c>
      <c r="M279" s="4" t="inlineStr">
        <is>
          <t>sin muestra</t>
        </is>
      </c>
      <c r="N279" s="4" t="inlineStr">
        <is>
          <t>no valorable</t>
        </is>
      </c>
      <c r="O279" s="4" t="inlineStr">
        <is>
          <t>ventana inicial sin histórico</t>
        </is>
      </c>
    </row>
    <row r="280">
      <c r="A280" s="4" t="inlineStr">
        <is>
          <t>MD-0236</t>
        </is>
      </c>
      <c r="B280" s="21" t="n">
        <v>45948</v>
      </c>
      <c r="C280" s="4" t="inlineStr">
        <is>
          <t>Villa de Vallecas</t>
        </is>
      </c>
      <c r="D280" s="4" t="n">
        <v>57</v>
      </c>
      <c r="E280" s="4" t="inlineStr">
        <is>
          <t>reformado</t>
        </is>
      </c>
      <c r="F280" s="22" t="n">
        <v>237000</v>
      </c>
      <c r="G280" s="23" t="n">
        <v>4157.89</v>
      </c>
      <c r="H280" s="22" t="n"/>
      <c r="I280" s="23" t="n"/>
      <c r="J280" s="18" t="n"/>
      <c r="K280" s="24" t="n"/>
      <c r="L280" s="4" t="n">
        <v>0</v>
      </c>
      <c r="M280" s="4" t="inlineStr">
        <is>
          <t>sin muestra</t>
        </is>
      </c>
      <c r="N280" s="4" t="inlineStr">
        <is>
          <t>no valorable</t>
        </is>
      </c>
      <c r="O280" s="4" t="inlineStr">
        <is>
          <t>ventana inicial sin histórico</t>
        </is>
      </c>
    </row>
    <row r="281">
      <c r="A281" s="4" t="inlineStr">
        <is>
          <t>MD-1084</t>
        </is>
      </c>
      <c r="B281" s="21" t="n">
        <v>45948</v>
      </c>
      <c r="C281" s="4" t="inlineStr">
        <is>
          <t>Salamanca</t>
        </is>
      </c>
      <c r="D281" s="4" t="n">
        <v>175</v>
      </c>
      <c r="E281" s="4" t="inlineStr">
        <is>
          <t>buen estado</t>
        </is>
      </c>
      <c r="F281" s="22" t="n">
        <v>1608000</v>
      </c>
      <c r="G281" s="23" t="n">
        <v>9188.57</v>
      </c>
      <c r="H281" s="22" t="n"/>
      <c r="I281" s="23" t="n"/>
      <c r="J281" s="18" t="n"/>
      <c r="K281" s="24" t="n"/>
      <c r="L281" s="4" t="n">
        <v>4</v>
      </c>
      <c r="M281" s="4" t="inlineStr">
        <is>
          <t>sin muestra</t>
        </is>
      </c>
      <c r="N281" s="4" t="inlineStr">
        <is>
          <t>no valorable</t>
        </is>
      </c>
      <c r="O281" s="4" t="inlineStr">
        <is>
          <t>ventana inicial sin histórico</t>
        </is>
      </c>
    </row>
    <row r="282">
      <c r="A282" s="4" t="inlineStr">
        <is>
          <t>MD-0667</t>
        </is>
      </c>
      <c r="B282" s="21" t="n">
        <v>45949</v>
      </c>
      <c r="C282" s="4" t="inlineStr">
        <is>
          <t>Moratalaz</t>
        </is>
      </c>
      <c r="D282" s="4" t="n">
        <v>88</v>
      </c>
      <c r="E282" s="4" t="inlineStr">
        <is>
          <t>buen estado</t>
        </is>
      </c>
      <c r="F282" s="22" t="n">
        <v>370000</v>
      </c>
      <c r="G282" s="23" t="n">
        <v>4204.55</v>
      </c>
      <c r="H282" s="22" t="n"/>
      <c r="I282" s="23" t="n"/>
      <c r="J282" s="18" t="n"/>
      <c r="K282" s="24" t="n"/>
      <c r="L282" s="4" t="n">
        <v>1</v>
      </c>
      <c r="M282" s="4" t="inlineStr">
        <is>
          <t>sin muestra</t>
        </is>
      </c>
      <c r="N282" s="4" t="inlineStr">
        <is>
          <t>no valorable</t>
        </is>
      </c>
      <c r="O282" s="4" t="inlineStr">
        <is>
          <t>ventana inicial sin histórico</t>
        </is>
      </c>
    </row>
    <row r="283">
      <c r="A283" s="4" t="inlineStr">
        <is>
          <t>MD-1927</t>
        </is>
      </c>
      <c r="B283" s="21" t="n">
        <v>45949</v>
      </c>
      <c r="C283" s="4" t="inlineStr">
        <is>
          <t>Puente de Vallecas</t>
        </is>
      </c>
      <c r="D283" s="4" t="n">
        <v>74</v>
      </c>
      <c r="E283" s="4" t="inlineStr">
        <is>
          <t>buen estado</t>
        </is>
      </c>
      <c r="F283" s="22" t="n">
        <v>223000</v>
      </c>
      <c r="G283" s="23" t="n">
        <v>3013.51</v>
      </c>
      <c r="H283" s="22" t="n">
        <v>215201</v>
      </c>
      <c r="I283" s="23" t="n">
        <v>2908.13</v>
      </c>
      <c r="J283" s="18" t="n">
        <v>0.0362</v>
      </c>
      <c r="K283" s="24" t="n">
        <v>40.9</v>
      </c>
      <c r="L283" s="4" t="n">
        <v>17</v>
      </c>
      <c r="M283" s="4" t="inlineStr">
        <is>
          <t>alta</t>
        </is>
      </c>
      <c r="N283" s="4" t="inlineStr">
        <is>
          <t>en linea con comparables</t>
        </is>
      </c>
      <c r="O283" s="4" t="n"/>
    </row>
    <row r="284">
      <c r="A284" s="4" t="inlineStr">
        <is>
          <t>MD-1703</t>
        </is>
      </c>
      <c r="B284" s="21" t="n">
        <v>45949</v>
      </c>
      <c r="C284" s="4" t="inlineStr">
        <is>
          <t>Puente de Vallecas</t>
        </is>
      </c>
      <c r="D284" s="4" t="n">
        <v>74</v>
      </c>
      <c r="E284" s="4" t="inlineStr">
        <is>
          <t>buen estado</t>
        </is>
      </c>
      <c r="F284" s="22" t="n">
        <v>194000</v>
      </c>
      <c r="G284" s="23" t="n">
        <v>2621.62</v>
      </c>
      <c r="H284" s="22" t="n">
        <v>228288</v>
      </c>
      <c r="I284" s="23" t="n">
        <v>3084.97</v>
      </c>
      <c r="J284" s="18" t="n">
        <v>-0.1502</v>
      </c>
      <c r="K284" s="24" t="n">
        <v>87.5</v>
      </c>
      <c r="L284" s="4" t="n">
        <v>17</v>
      </c>
      <c r="M284" s="4" t="inlineStr">
        <is>
          <t>alta</t>
        </is>
      </c>
      <c r="N284" s="4" t="inlineStr">
        <is>
          <t>por debajo de comparables</t>
        </is>
      </c>
      <c r="O284" s="4" t="n"/>
    </row>
    <row r="285">
      <c r="A285" s="4" t="inlineStr">
        <is>
          <t>MD-1433</t>
        </is>
      </c>
      <c r="B285" s="21" t="n">
        <v>45949</v>
      </c>
      <c r="C285" s="4" t="inlineStr">
        <is>
          <t>Chamartin</t>
        </is>
      </c>
      <c r="D285" s="4" t="n">
        <v>77</v>
      </c>
      <c r="E285" s="4" t="inlineStr">
        <is>
          <t>reformado</t>
        </is>
      </c>
      <c r="F285" s="22" t="n">
        <v>681000</v>
      </c>
      <c r="G285" s="23" t="n">
        <v>8844.16</v>
      </c>
      <c r="H285" s="22" t="n"/>
      <c r="I285" s="23" t="n"/>
      <c r="J285" s="18" t="n"/>
      <c r="K285" s="24" t="n"/>
      <c r="L285" s="4" t="n">
        <v>4</v>
      </c>
      <c r="M285" s="4" t="inlineStr">
        <is>
          <t>sin muestra</t>
        </is>
      </c>
      <c r="N285" s="4" t="inlineStr">
        <is>
          <t>no valorable</t>
        </is>
      </c>
      <c r="O285" s="4" t="inlineStr">
        <is>
          <t>ventana inicial sin histórico</t>
        </is>
      </c>
    </row>
    <row r="286">
      <c r="A286" s="4" t="inlineStr">
        <is>
          <t>MD-1411</t>
        </is>
      </c>
      <c r="B286" s="21" t="n">
        <v>45949</v>
      </c>
      <c r="C286" s="4" t="inlineStr">
        <is>
          <t>Fuencarral-El Pardo</t>
        </is>
      </c>
      <c r="D286" s="4" t="n">
        <v>60</v>
      </c>
      <c r="E286" s="4" t="inlineStr">
        <is>
          <t>a reformar</t>
        </is>
      </c>
      <c r="F286" s="22" t="n">
        <v>230000</v>
      </c>
      <c r="G286" s="23" t="n">
        <v>3833.33</v>
      </c>
      <c r="H286" s="22" t="n">
        <v>218476</v>
      </c>
      <c r="I286" s="23" t="n">
        <v>3641.27</v>
      </c>
      <c r="J286" s="18" t="n">
        <v>0.0527</v>
      </c>
      <c r="K286" s="24" t="n">
        <v>36.8</v>
      </c>
      <c r="L286" s="4" t="n">
        <v>5</v>
      </c>
      <c r="M286" s="4" t="inlineStr">
        <is>
          <t>baja</t>
        </is>
      </c>
      <c r="N286" s="4" t="inlineStr">
        <is>
          <t>en linea con comparables</t>
        </is>
      </c>
      <c r="O286" s="4" t="n"/>
    </row>
    <row r="287">
      <c r="A287" s="4" t="inlineStr">
        <is>
          <t>MD-1333</t>
        </is>
      </c>
      <c r="B287" s="21" t="n">
        <v>45949</v>
      </c>
      <c r="C287" s="4" t="inlineStr">
        <is>
          <t>Chamberi</t>
        </is>
      </c>
      <c r="D287" s="4" t="n">
        <v>123</v>
      </c>
      <c r="E287" s="4" t="inlineStr">
        <is>
          <t>buen estado</t>
        </is>
      </c>
      <c r="F287" s="22" t="n">
        <v>889000</v>
      </c>
      <c r="G287" s="23" t="n">
        <v>7227.64</v>
      </c>
      <c r="H287" s="22" t="n"/>
      <c r="I287" s="23" t="n"/>
      <c r="J287" s="18" t="n"/>
      <c r="K287" s="24" t="n"/>
      <c r="L287" s="4" t="n">
        <v>2</v>
      </c>
      <c r="M287" s="4" t="inlineStr">
        <is>
          <t>sin muestra</t>
        </is>
      </c>
      <c r="N287" s="4" t="inlineStr">
        <is>
          <t>no valorable</t>
        </is>
      </c>
      <c r="O287" s="4" t="inlineStr">
        <is>
          <t>ventana inicial sin histórico</t>
        </is>
      </c>
    </row>
    <row r="288">
      <c r="A288" s="4" t="inlineStr">
        <is>
          <t>MD-0220</t>
        </is>
      </c>
      <c r="B288" s="21" t="n">
        <v>45949</v>
      </c>
      <c r="C288" s="4" t="inlineStr">
        <is>
          <t>Retiro</t>
        </is>
      </c>
      <c r="D288" s="4" t="n">
        <v>106</v>
      </c>
      <c r="E288" s="4" t="inlineStr">
        <is>
          <t>a reformar</t>
        </is>
      </c>
      <c r="F288" s="22" t="n">
        <v>698000</v>
      </c>
      <c r="G288" s="23" t="n">
        <v>6584.91</v>
      </c>
      <c r="H288" s="22" t="n"/>
      <c r="I288" s="23" t="n"/>
      <c r="J288" s="18" t="n"/>
      <c r="K288" s="24" t="n"/>
      <c r="L288" s="4" t="n">
        <v>4</v>
      </c>
      <c r="M288" s="4" t="inlineStr">
        <is>
          <t>sin muestra</t>
        </is>
      </c>
      <c r="N288" s="4" t="inlineStr">
        <is>
          <t>no valorable</t>
        </is>
      </c>
      <c r="O288" s="4" t="inlineStr">
        <is>
          <t>ventana inicial sin histórico</t>
        </is>
      </c>
    </row>
    <row r="289">
      <c r="A289" s="4" t="inlineStr">
        <is>
          <t>MD-0064</t>
        </is>
      </c>
      <c r="B289" s="21" t="n">
        <v>45949</v>
      </c>
      <c r="C289" s="4" t="inlineStr">
        <is>
          <t>Salamanca</t>
        </is>
      </c>
      <c r="D289" s="4" t="n">
        <v>180</v>
      </c>
      <c r="E289" s="4" t="inlineStr">
        <is>
          <t>reformado</t>
        </is>
      </c>
      <c r="F289" s="22" t="n">
        <v>1879000</v>
      </c>
      <c r="G289" s="23" t="n">
        <v>10438.89</v>
      </c>
      <c r="H289" s="22" t="n">
        <v>1736524</v>
      </c>
      <c r="I289" s="23" t="n">
        <v>9647.360000000001</v>
      </c>
      <c r="J289" s="18" t="n">
        <v>0.082</v>
      </c>
      <c r="K289" s="24" t="n">
        <v>29.5</v>
      </c>
      <c r="L289" s="4" t="n">
        <v>5</v>
      </c>
      <c r="M289" s="4" t="inlineStr">
        <is>
          <t>baja</t>
        </is>
      </c>
      <c r="N289" s="4" t="inlineStr">
        <is>
          <t>en linea con comparables</t>
        </is>
      </c>
      <c r="O289" s="4" t="n"/>
    </row>
    <row r="290">
      <c r="A290" s="4" t="inlineStr">
        <is>
          <t>MD-0456</t>
        </is>
      </c>
      <c r="B290" s="21" t="n">
        <v>45949</v>
      </c>
      <c r="C290" s="4" t="inlineStr">
        <is>
          <t>Centro</t>
        </is>
      </c>
      <c r="D290" s="4" t="n">
        <v>66</v>
      </c>
      <c r="E290" s="4" t="inlineStr">
        <is>
          <t>buen estado</t>
        </is>
      </c>
      <c r="F290" s="22" t="n">
        <v>464000</v>
      </c>
      <c r="G290" s="23" t="n">
        <v>7030.3</v>
      </c>
      <c r="H290" s="22" t="n"/>
      <c r="I290" s="23" t="n"/>
      <c r="J290" s="18" t="n"/>
      <c r="K290" s="24" t="n"/>
      <c r="L290" s="4" t="n">
        <v>3</v>
      </c>
      <c r="M290" s="4" t="inlineStr">
        <is>
          <t>sin muestra</t>
        </is>
      </c>
      <c r="N290" s="4" t="inlineStr">
        <is>
          <t>no valorable</t>
        </is>
      </c>
      <c r="O290" s="4" t="inlineStr">
        <is>
          <t>ventana inicial sin histórico</t>
        </is>
      </c>
    </row>
    <row r="291">
      <c r="A291" s="4" t="inlineStr">
        <is>
          <t>MD-1531</t>
        </is>
      </c>
      <c r="B291" s="21" t="n">
        <v>45950</v>
      </c>
      <c r="C291" s="4" t="inlineStr">
        <is>
          <t>Fuencarral-El Pardo</t>
        </is>
      </c>
      <c r="D291" s="4" t="n">
        <v>115</v>
      </c>
      <c r="E291" s="4" t="inlineStr">
        <is>
          <t>a reformar</t>
        </is>
      </c>
      <c r="F291" s="22" t="n">
        <v>545000</v>
      </c>
      <c r="G291" s="23" t="n">
        <v>4739.13</v>
      </c>
      <c r="H291" s="22" t="n">
        <v>600873</v>
      </c>
      <c r="I291" s="23" t="n">
        <v>5224.99</v>
      </c>
      <c r="J291" s="18" t="n">
        <v>-0.093</v>
      </c>
      <c r="K291" s="24" t="n">
        <v>73.2</v>
      </c>
      <c r="L291" s="4" t="n">
        <v>5</v>
      </c>
      <c r="M291" s="4" t="inlineStr">
        <is>
          <t>baja</t>
        </is>
      </c>
      <c r="N291" s="4" t="inlineStr">
        <is>
          <t>en linea con comparables</t>
        </is>
      </c>
      <c r="O291" s="4" t="n"/>
    </row>
    <row r="292">
      <c r="A292" s="4" t="inlineStr">
        <is>
          <t>MD-0240</t>
        </is>
      </c>
      <c r="B292" s="21" t="n">
        <v>45950</v>
      </c>
      <c r="C292" s="4" t="inlineStr">
        <is>
          <t>Salamanca</t>
        </is>
      </c>
      <c r="D292" s="4" t="n">
        <v>108</v>
      </c>
      <c r="E292" s="4" t="inlineStr">
        <is>
          <t>buen estado</t>
        </is>
      </c>
      <c r="F292" s="22" t="n">
        <v>876000</v>
      </c>
      <c r="G292" s="23" t="n">
        <v>8111.11</v>
      </c>
      <c r="H292" s="22" t="n"/>
      <c r="I292" s="23" t="n"/>
      <c r="J292" s="18" t="n"/>
      <c r="K292" s="24" t="n"/>
      <c r="L292" s="4" t="n">
        <v>0</v>
      </c>
      <c r="M292" s="4" t="inlineStr">
        <is>
          <t>sin muestra</t>
        </is>
      </c>
      <c r="N292" s="4" t="inlineStr">
        <is>
          <t>no valorable</t>
        </is>
      </c>
      <c r="O292" s="4" t="inlineStr">
        <is>
          <t>ventana inicial sin histórico</t>
        </is>
      </c>
    </row>
    <row r="293">
      <c r="A293" s="4" t="inlineStr">
        <is>
          <t>MD-1745</t>
        </is>
      </c>
      <c r="B293" s="21" t="n">
        <v>45950</v>
      </c>
      <c r="C293" s="4" t="inlineStr">
        <is>
          <t>Villa de Vallecas</t>
        </is>
      </c>
      <c r="D293" s="4" t="n">
        <v>78</v>
      </c>
      <c r="E293" s="4" t="inlineStr">
        <is>
          <t>reformado</t>
        </is>
      </c>
      <c r="F293" s="22" t="n">
        <v>285000</v>
      </c>
      <c r="G293" s="23" t="n">
        <v>3653.85</v>
      </c>
      <c r="H293" s="22" t="n"/>
      <c r="I293" s="23" t="n"/>
      <c r="J293" s="18" t="n"/>
      <c r="K293" s="24" t="n"/>
      <c r="L293" s="4" t="n">
        <v>3</v>
      </c>
      <c r="M293" s="4" t="inlineStr">
        <is>
          <t>sin muestra</t>
        </is>
      </c>
      <c r="N293" s="4" t="inlineStr">
        <is>
          <t>no valorable</t>
        </is>
      </c>
      <c r="O293" s="4" t="inlineStr">
        <is>
          <t>ventana inicial sin histórico</t>
        </is>
      </c>
    </row>
    <row r="294">
      <c r="A294" s="4" t="inlineStr">
        <is>
          <t>MD-1529</t>
        </is>
      </c>
      <c r="B294" s="21" t="n">
        <v>45950</v>
      </c>
      <c r="C294" s="4" t="inlineStr">
        <is>
          <t>Latina</t>
        </is>
      </c>
      <c r="D294" s="4" t="n">
        <v>75</v>
      </c>
      <c r="E294" s="4" t="inlineStr">
        <is>
          <t>buen estado</t>
        </is>
      </c>
      <c r="F294" s="22" t="n">
        <v>244000</v>
      </c>
      <c r="G294" s="23" t="n">
        <v>3253.33</v>
      </c>
      <c r="H294" s="22" t="n">
        <v>232628</v>
      </c>
      <c r="I294" s="23" t="n">
        <v>3101.7</v>
      </c>
      <c r="J294" s="18" t="n">
        <v>0.0489</v>
      </c>
      <c r="K294" s="24" t="n">
        <v>37.8</v>
      </c>
      <c r="L294" s="4" t="n">
        <v>14</v>
      </c>
      <c r="M294" s="4" t="inlineStr">
        <is>
          <t>media</t>
        </is>
      </c>
      <c r="N294" s="4" t="inlineStr">
        <is>
          <t>en linea con comparables</t>
        </is>
      </c>
      <c r="O294" s="4" t="n"/>
    </row>
    <row r="295">
      <c r="A295" s="4" t="inlineStr">
        <is>
          <t>MD-0346</t>
        </is>
      </c>
      <c r="B295" s="21" t="n">
        <v>45951</v>
      </c>
      <c r="C295" s="4" t="inlineStr">
        <is>
          <t>Centro</t>
        </is>
      </c>
      <c r="D295" s="4" t="n">
        <v>61</v>
      </c>
      <c r="E295" s="4" t="inlineStr">
        <is>
          <t>buen estado</t>
        </is>
      </c>
      <c r="F295" s="22" t="n">
        <v>541000</v>
      </c>
      <c r="G295" s="23" t="n">
        <v>8868.85</v>
      </c>
      <c r="H295" s="22" t="n"/>
      <c r="I295" s="23" t="n"/>
      <c r="J295" s="18" t="n"/>
      <c r="K295" s="24" t="n"/>
      <c r="L295" s="4" t="n">
        <v>3</v>
      </c>
      <c r="M295" s="4" t="inlineStr">
        <is>
          <t>sin muestra</t>
        </is>
      </c>
      <c r="N295" s="4" t="inlineStr">
        <is>
          <t>no valorable</t>
        </is>
      </c>
      <c r="O295" s="4" t="inlineStr">
        <is>
          <t>ventana inicial sin histórico</t>
        </is>
      </c>
    </row>
    <row r="296">
      <c r="A296" s="4" t="inlineStr">
        <is>
          <t>MD-0636</t>
        </is>
      </c>
      <c r="B296" s="21" t="n">
        <v>45951</v>
      </c>
      <c r="C296" s="4" t="inlineStr">
        <is>
          <t>Centro</t>
        </is>
      </c>
      <c r="D296" s="4" t="n">
        <v>36</v>
      </c>
      <c r="E296" s="4" t="inlineStr">
        <is>
          <t>a reformar</t>
        </is>
      </c>
      <c r="F296" s="22" t="n">
        <v>194000</v>
      </c>
      <c r="G296" s="23" t="n">
        <v>5388.89</v>
      </c>
      <c r="H296" s="22" t="n"/>
      <c r="I296" s="23" t="n"/>
      <c r="J296" s="18" t="n"/>
      <c r="K296" s="24" t="n"/>
      <c r="L296" s="4" t="n">
        <v>3</v>
      </c>
      <c r="M296" s="4" t="inlineStr">
        <is>
          <t>sin muestra</t>
        </is>
      </c>
      <c r="N296" s="4" t="inlineStr">
        <is>
          <t>no valorable</t>
        </is>
      </c>
      <c r="O296" s="4" t="inlineStr">
        <is>
          <t>ventana inicial sin histórico</t>
        </is>
      </c>
    </row>
    <row r="297">
      <c r="A297" s="4" t="inlineStr">
        <is>
          <t>MD-1189</t>
        </is>
      </c>
      <c r="B297" s="21" t="n">
        <v>45951</v>
      </c>
      <c r="C297" s="4" t="inlineStr">
        <is>
          <t>Carabanchel</t>
        </is>
      </c>
      <c r="D297" s="4" t="n">
        <v>43</v>
      </c>
      <c r="E297" s="4" t="inlineStr">
        <is>
          <t>a reformar</t>
        </is>
      </c>
      <c r="F297" s="22" t="n">
        <v>112000</v>
      </c>
      <c r="G297" s="23" t="n">
        <v>2604.65</v>
      </c>
      <c r="H297" s="22" t="n"/>
      <c r="I297" s="23" t="n"/>
      <c r="J297" s="18" t="n"/>
      <c r="K297" s="24" t="n"/>
      <c r="L297" s="4" t="n">
        <v>2</v>
      </c>
      <c r="M297" s="4" t="inlineStr">
        <is>
          <t>sin muestra</t>
        </is>
      </c>
      <c r="N297" s="4" t="inlineStr">
        <is>
          <t>no valorable</t>
        </is>
      </c>
      <c r="O297" s="4" t="inlineStr">
        <is>
          <t>ventana inicial sin histórico</t>
        </is>
      </c>
    </row>
    <row r="298">
      <c r="A298" s="4" t="inlineStr">
        <is>
          <t>MD-0672</t>
        </is>
      </c>
      <c r="B298" s="21" t="n">
        <v>45951</v>
      </c>
      <c r="C298" s="4" t="inlineStr">
        <is>
          <t>Puente de Vallecas</t>
        </is>
      </c>
      <c r="D298" s="4" t="n">
        <v>165</v>
      </c>
      <c r="E298" s="4" t="inlineStr">
        <is>
          <t>buen estado</t>
        </is>
      </c>
      <c r="F298" s="22" t="n">
        <v>354000</v>
      </c>
      <c r="G298" s="23" t="n">
        <v>2145.45</v>
      </c>
      <c r="H298" s="22" t="n"/>
      <c r="I298" s="23" t="n"/>
      <c r="J298" s="18" t="n"/>
      <c r="K298" s="24" t="n"/>
      <c r="L298" s="4" t="n">
        <v>1</v>
      </c>
      <c r="M298" s="4" t="inlineStr">
        <is>
          <t>sin muestra</t>
        </is>
      </c>
      <c r="N298" s="4" t="inlineStr">
        <is>
          <t>no valorable</t>
        </is>
      </c>
      <c r="O298" s="4" t="inlineStr">
        <is>
          <t>ventana inicial sin histórico</t>
        </is>
      </c>
    </row>
    <row r="299">
      <c r="A299" s="4" t="inlineStr">
        <is>
          <t>MD-0950</t>
        </is>
      </c>
      <c r="B299" s="21" t="n">
        <v>45951</v>
      </c>
      <c r="C299" s="4" t="inlineStr">
        <is>
          <t>Arganzuela</t>
        </is>
      </c>
      <c r="D299" s="4" t="n">
        <v>49</v>
      </c>
      <c r="E299" s="4" t="inlineStr">
        <is>
          <t>a reformar</t>
        </is>
      </c>
      <c r="F299" s="22" t="n">
        <v>197000</v>
      </c>
      <c r="G299" s="23" t="n">
        <v>4020.41</v>
      </c>
      <c r="H299" s="22" t="n"/>
      <c r="I299" s="23" t="n"/>
      <c r="J299" s="18" t="n"/>
      <c r="K299" s="24" t="n"/>
      <c r="L299" s="4" t="n">
        <v>2</v>
      </c>
      <c r="M299" s="4" t="inlineStr">
        <is>
          <t>sin muestra</t>
        </is>
      </c>
      <c r="N299" s="4" t="inlineStr">
        <is>
          <t>no valorable</t>
        </is>
      </c>
      <c r="O299" s="4" t="inlineStr">
        <is>
          <t>ventana inicial sin histórico</t>
        </is>
      </c>
    </row>
    <row r="300">
      <c r="A300" s="4" t="inlineStr">
        <is>
          <t>MD-0369</t>
        </is>
      </c>
      <c r="B300" s="21" t="n">
        <v>45951</v>
      </c>
      <c r="C300" s="4" t="inlineStr">
        <is>
          <t>Fuencarral-El Pardo</t>
        </is>
      </c>
      <c r="D300" s="4" t="n">
        <v>172</v>
      </c>
      <c r="E300" s="4" t="inlineStr">
        <is>
          <t>obra nueva</t>
        </is>
      </c>
      <c r="F300" s="22" t="n">
        <v>149000</v>
      </c>
      <c r="G300" s="23" t="n">
        <v>866.28</v>
      </c>
      <c r="H300" s="22" t="n"/>
      <c r="I300" s="23" t="n"/>
      <c r="J300" s="18" t="n"/>
      <c r="K300" s="24" t="n"/>
      <c r="L300" s="4" t="n">
        <v>2</v>
      </c>
      <c r="M300" s="4" t="inlineStr">
        <is>
          <t>sin muestra</t>
        </is>
      </c>
      <c r="N300" s="4" t="inlineStr">
        <is>
          <t>no valorable</t>
        </is>
      </c>
      <c r="O300" s="4" t="inlineStr">
        <is>
          <t>ventana inicial sin histórico</t>
        </is>
      </c>
    </row>
    <row r="301">
      <c r="A301" s="4" t="inlineStr">
        <is>
          <t>MD-1137</t>
        </is>
      </c>
      <c r="B301" s="21" t="n">
        <v>45952</v>
      </c>
      <c r="C301" s="4" t="inlineStr">
        <is>
          <t>Puente de Vallecas</t>
        </is>
      </c>
      <c r="D301" s="4" t="n">
        <v>77</v>
      </c>
      <c r="E301" s="4" t="inlineStr">
        <is>
          <t>a reformar</t>
        </is>
      </c>
      <c r="F301" s="22" t="n">
        <v>163000</v>
      </c>
      <c r="G301" s="23" t="n">
        <v>2116.88</v>
      </c>
      <c r="H301" s="22" t="n">
        <v>181457</v>
      </c>
      <c r="I301" s="23" t="n">
        <v>2356.58</v>
      </c>
      <c r="J301" s="18" t="n">
        <v>-0.1017</v>
      </c>
      <c r="K301" s="24" t="n">
        <v>75.40000000000001</v>
      </c>
      <c r="L301" s="4" t="n">
        <v>18</v>
      </c>
      <c r="M301" s="4" t="inlineStr">
        <is>
          <t>alta</t>
        </is>
      </c>
      <c r="N301" s="4" t="inlineStr">
        <is>
          <t>por debajo de comparables</t>
        </is>
      </c>
      <c r="O301" s="4" t="n"/>
    </row>
    <row r="302">
      <c r="A302" s="4" t="inlineStr">
        <is>
          <t>MD-1438</t>
        </is>
      </c>
      <c r="B302" s="21" t="n">
        <v>45952</v>
      </c>
      <c r="C302" s="4" t="inlineStr">
        <is>
          <t>Carabanchel</t>
        </is>
      </c>
      <c r="D302" s="4" t="n">
        <v>48</v>
      </c>
      <c r="E302" s="4" t="inlineStr">
        <is>
          <t>buen estado</t>
        </is>
      </c>
      <c r="F302" s="22" t="n">
        <v>125000</v>
      </c>
      <c r="G302" s="23" t="n">
        <v>2604.17</v>
      </c>
      <c r="H302" s="22" t="n">
        <v>132369</v>
      </c>
      <c r="I302" s="23" t="n">
        <v>2757.68</v>
      </c>
      <c r="J302" s="18" t="n">
        <v>-0.0557</v>
      </c>
      <c r="K302" s="24" t="n">
        <v>63.9</v>
      </c>
      <c r="L302" s="4" t="n">
        <v>5</v>
      </c>
      <c r="M302" s="4" t="inlineStr">
        <is>
          <t>baja</t>
        </is>
      </c>
      <c r="N302" s="4" t="inlineStr">
        <is>
          <t>en linea con comparables</t>
        </is>
      </c>
      <c r="O302" s="4" t="n"/>
    </row>
    <row r="303">
      <c r="A303" s="4" t="inlineStr">
        <is>
          <t>MD-1081</t>
        </is>
      </c>
      <c r="B303" s="21" t="n">
        <v>45952</v>
      </c>
      <c r="C303" s="4" t="inlineStr">
        <is>
          <t>Tetuan</t>
        </is>
      </c>
      <c r="D303" s="4" t="n">
        <v>71</v>
      </c>
      <c r="E303" s="4" t="inlineStr">
        <is>
          <t>reformado</t>
        </is>
      </c>
      <c r="F303" s="22" t="n">
        <v>361000</v>
      </c>
      <c r="G303" s="23" t="n">
        <v>5084.51</v>
      </c>
      <c r="H303" s="22" t="n">
        <v>394634</v>
      </c>
      <c r="I303" s="23" t="n">
        <v>5558.23</v>
      </c>
      <c r="J303" s="18" t="n">
        <v>-0.0852</v>
      </c>
      <c r="K303" s="24" t="n">
        <v>71.3</v>
      </c>
      <c r="L303" s="4" t="n">
        <v>6</v>
      </c>
      <c r="M303" s="4" t="inlineStr">
        <is>
          <t>baja</t>
        </is>
      </c>
      <c r="N303" s="4" t="inlineStr">
        <is>
          <t>en linea con comparables</t>
        </is>
      </c>
      <c r="O303" s="4" t="n"/>
    </row>
    <row r="304">
      <c r="A304" s="4" t="inlineStr">
        <is>
          <t>MD-0641</t>
        </is>
      </c>
      <c r="B304" s="21" t="n">
        <v>45952</v>
      </c>
      <c r="C304" s="4" t="inlineStr">
        <is>
          <t>Latina</t>
        </is>
      </c>
      <c r="D304" s="4" t="n">
        <v>49</v>
      </c>
      <c r="E304" s="4" t="inlineStr">
        <is>
          <t>buen estado</t>
        </is>
      </c>
      <c r="F304" s="22" t="n">
        <v>136000</v>
      </c>
      <c r="G304" s="23" t="n">
        <v>2775.51</v>
      </c>
      <c r="H304" s="22" t="n">
        <v>166152</v>
      </c>
      <c r="I304" s="23" t="n">
        <v>3390.87</v>
      </c>
      <c r="J304" s="18" t="n">
        <v>-0.1815</v>
      </c>
      <c r="K304" s="24" t="n">
        <v>95.40000000000001</v>
      </c>
      <c r="L304" s="4" t="n">
        <v>8</v>
      </c>
      <c r="M304" s="4" t="inlineStr">
        <is>
          <t>media</t>
        </is>
      </c>
      <c r="N304" s="4" t="inlineStr">
        <is>
          <t>por debajo de comparables</t>
        </is>
      </c>
      <c r="O304" s="4" t="n"/>
    </row>
    <row r="305">
      <c r="A305" s="4" t="inlineStr">
        <is>
          <t>MD-1568</t>
        </is>
      </c>
      <c r="B305" s="21" t="n">
        <v>45952</v>
      </c>
      <c r="C305" s="4" t="inlineStr">
        <is>
          <t>Puente de Vallecas</t>
        </is>
      </c>
      <c r="D305" s="4" t="n">
        <v>80</v>
      </c>
      <c r="E305" s="4" t="inlineStr">
        <is>
          <t>reformado</t>
        </is>
      </c>
      <c r="F305" s="22" t="n">
        <v>247000</v>
      </c>
      <c r="G305" s="23" t="n">
        <v>3087.5</v>
      </c>
      <c r="H305" s="22" t="n">
        <v>256832</v>
      </c>
      <c r="I305" s="23" t="n">
        <v>3210.4</v>
      </c>
      <c r="J305" s="18" t="n">
        <v>-0.0383</v>
      </c>
      <c r="K305" s="24" t="n">
        <v>59.6</v>
      </c>
      <c r="L305" s="4" t="n">
        <v>16</v>
      </c>
      <c r="M305" s="4" t="inlineStr">
        <is>
          <t>alta</t>
        </is>
      </c>
      <c r="N305" s="4" t="inlineStr">
        <is>
          <t>en linea con comparables</t>
        </is>
      </c>
      <c r="O305" s="4" t="n"/>
    </row>
    <row r="306">
      <c r="A306" s="4" t="inlineStr">
        <is>
          <t>MD-1317</t>
        </is>
      </c>
      <c r="B306" s="21" t="n">
        <v>45952</v>
      </c>
      <c r="C306" s="4" t="inlineStr">
        <is>
          <t>Puente de Vallecas</t>
        </is>
      </c>
      <c r="D306" s="4" t="n">
        <v>155</v>
      </c>
      <c r="E306" s="4" t="inlineStr">
        <is>
          <t>buen estado</t>
        </is>
      </c>
      <c r="F306" s="22" t="n">
        <v>382000</v>
      </c>
      <c r="G306" s="23" t="n">
        <v>2464.52</v>
      </c>
      <c r="H306" s="22" t="n"/>
      <c r="I306" s="23" t="n"/>
      <c r="J306" s="18" t="n"/>
      <c r="K306" s="24" t="n"/>
      <c r="L306" s="4" t="n">
        <v>2</v>
      </c>
      <c r="M306" s="4" t="inlineStr">
        <is>
          <t>sin muestra</t>
        </is>
      </c>
      <c r="N306" s="4" t="inlineStr">
        <is>
          <t>no valorable</t>
        </is>
      </c>
      <c r="O306" s="4" t="inlineStr">
        <is>
          <t>ventana inicial sin histórico</t>
        </is>
      </c>
    </row>
    <row r="307">
      <c r="A307" s="4" t="inlineStr">
        <is>
          <t>MD-1977</t>
        </is>
      </c>
      <c r="B307" s="21" t="n">
        <v>45952</v>
      </c>
      <c r="C307" s="4" t="inlineStr">
        <is>
          <t>Centro</t>
        </is>
      </c>
      <c r="D307" s="4" t="n">
        <v>144</v>
      </c>
      <c r="E307" s="4" t="inlineStr">
        <is>
          <t>reformado</t>
        </is>
      </c>
      <c r="F307" s="22" t="n">
        <v>1300000</v>
      </c>
      <c r="G307" s="23" t="n">
        <v>9027.780000000001</v>
      </c>
      <c r="H307" s="22" t="n"/>
      <c r="I307" s="23" t="n"/>
      <c r="J307" s="18" t="n"/>
      <c r="K307" s="24" t="n"/>
      <c r="L307" s="4" t="n">
        <v>4</v>
      </c>
      <c r="M307" s="4" t="inlineStr">
        <is>
          <t>sin muestra</t>
        </is>
      </c>
      <c r="N307" s="4" t="inlineStr">
        <is>
          <t>no valorable</t>
        </is>
      </c>
      <c r="O307" s="4" t="inlineStr">
        <is>
          <t>ventana inicial sin histórico</t>
        </is>
      </c>
    </row>
    <row r="308">
      <c r="A308" s="4" t="inlineStr">
        <is>
          <t>MD-0907</t>
        </is>
      </c>
      <c r="B308" s="21" t="n">
        <v>45952</v>
      </c>
      <c r="C308" s="4" t="inlineStr">
        <is>
          <t>Chamberi</t>
        </is>
      </c>
      <c r="D308" s="4" t="n">
        <v>91</v>
      </c>
      <c r="E308" s="4" t="inlineStr">
        <is>
          <t>buen estado</t>
        </is>
      </c>
      <c r="F308" s="22" t="n">
        <v>678000</v>
      </c>
      <c r="G308" s="23" t="n">
        <v>7450.55</v>
      </c>
      <c r="H308" s="22" t="n"/>
      <c r="I308" s="23" t="n"/>
      <c r="J308" s="18" t="n"/>
      <c r="K308" s="24" t="n"/>
      <c r="L308" s="4" t="n">
        <v>4</v>
      </c>
      <c r="M308" s="4" t="inlineStr">
        <is>
          <t>sin muestra</t>
        </is>
      </c>
      <c r="N308" s="4" t="inlineStr">
        <is>
          <t>no valorable</t>
        </is>
      </c>
      <c r="O308" s="4" t="inlineStr">
        <is>
          <t>ventana inicial sin histórico</t>
        </is>
      </c>
    </row>
    <row r="309">
      <c r="A309" s="4" t="inlineStr">
        <is>
          <t>MD-1298</t>
        </is>
      </c>
      <c r="B309" s="21" t="n">
        <v>45953</v>
      </c>
      <c r="C309" s="4" t="inlineStr">
        <is>
          <t>Moratalaz</t>
        </is>
      </c>
      <c r="D309" s="4" t="n">
        <v>92</v>
      </c>
      <c r="E309" s="4" t="inlineStr">
        <is>
          <t>buen estado</t>
        </is>
      </c>
      <c r="F309" s="22" t="n">
        <v>251000</v>
      </c>
      <c r="G309" s="23" t="n">
        <v>2728.26</v>
      </c>
      <c r="H309" s="22" t="n"/>
      <c r="I309" s="23" t="n"/>
      <c r="J309" s="18" t="n"/>
      <c r="K309" s="24" t="n"/>
      <c r="L309" s="4" t="n">
        <v>2</v>
      </c>
      <c r="M309" s="4" t="inlineStr">
        <is>
          <t>sin muestra</t>
        </is>
      </c>
      <c r="N309" s="4" t="inlineStr">
        <is>
          <t>no valorable</t>
        </is>
      </c>
      <c r="O309" s="4" t="inlineStr">
        <is>
          <t>ventana inicial sin histórico</t>
        </is>
      </c>
    </row>
    <row r="310">
      <c r="A310" s="4" t="inlineStr">
        <is>
          <t>MD-0474</t>
        </is>
      </c>
      <c r="B310" s="21" t="n">
        <v>45953</v>
      </c>
      <c r="C310" s="4" t="inlineStr">
        <is>
          <t>Tetuan</t>
        </is>
      </c>
      <c r="D310" s="4" t="n">
        <v>75</v>
      </c>
      <c r="E310" s="4" t="inlineStr">
        <is>
          <t>a reformar</t>
        </is>
      </c>
      <c r="F310" s="22" t="n">
        <v>247000</v>
      </c>
      <c r="G310" s="23" t="n">
        <v>3293.33</v>
      </c>
      <c r="H310" s="22" t="n">
        <v>286440</v>
      </c>
      <c r="I310" s="23" t="n">
        <v>3819.19</v>
      </c>
      <c r="J310" s="18" t="n">
        <v>-0.1377</v>
      </c>
      <c r="K310" s="24" t="n">
        <v>84.40000000000001</v>
      </c>
      <c r="L310" s="4" t="n">
        <v>6</v>
      </c>
      <c r="M310" s="4" t="inlineStr">
        <is>
          <t>baja</t>
        </is>
      </c>
      <c r="N310" s="4" t="inlineStr">
        <is>
          <t>por debajo de comparables</t>
        </is>
      </c>
      <c r="O310" s="4" t="n"/>
    </row>
    <row r="311">
      <c r="A311" s="4" t="inlineStr">
        <is>
          <t>MD-1162</t>
        </is>
      </c>
      <c r="B311" s="21" t="n">
        <v>45953</v>
      </c>
      <c r="C311" s="4" t="inlineStr">
        <is>
          <t>Carabanchel</t>
        </is>
      </c>
      <c r="D311" s="4" t="n">
        <v>81</v>
      </c>
      <c r="E311" s="4" t="inlineStr">
        <is>
          <t>buen estado</t>
        </is>
      </c>
      <c r="F311" s="22" t="n">
        <v>257000</v>
      </c>
      <c r="G311" s="23" t="n">
        <v>3172.84</v>
      </c>
      <c r="H311" s="22" t="n">
        <v>271593</v>
      </c>
      <c r="I311" s="23" t="n">
        <v>3353</v>
      </c>
      <c r="J311" s="18" t="n">
        <v>-0.0537</v>
      </c>
      <c r="K311" s="24" t="n">
        <v>63.4</v>
      </c>
      <c r="L311" s="4" t="n">
        <v>5</v>
      </c>
      <c r="M311" s="4" t="inlineStr">
        <is>
          <t>baja</t>
        </is>
      </c>
      <c r="N311" s="4" t="inlineStr">
        <is>
          <t>en linea con comparables</t>
        </is>
      </c>
      <c r="O311" s="4" t="n"/>
    </row>
    <row r="312">
      <c r="A312" s="4" t="inlineStr">
        <is>
          <t>MD-0901</t>
        </is>
      </c>
      <c r="B312" s="21" t="n">
        <v>45953</v>
      </c>
      <c r="C312" s="4" t="inlineStr">
        <is>
          <t>Arganzuela</t>
        </is>
      </c>
      <c r="D312" s="4" t="n">
        <v>159</v>
      </c>
      <c r="E312" s="4" t="inlineStr">
        <is>
          <t>reformado</t>
        </is>
      </c>
      <c r="F312" s="22" t="n">
        <v>1288000</v>
      </c>
      <c r="G312" s="23" t="n">
        <v>8100.63</v>
      </c>
      <c r="H312" s="22" t="n"/>
      <c r="I312" s="23" t="n"/>
      <c r="J312" s="18" t="n"/>
      <c r="K312" s="24" t="n"/>
      <c r="L312" s="4" t="n">
        <v>2</v>
      </c>
      <c r="M312" s="4" t="inlineStr">
        <is>
          <t>sin muestra</t>
        </is>
      </c>
      <c r="N312" s="4" t="inlineStr">
        <is>
          <t>no valorable</t>
        </is>
      </c>
      <c r="O312" s="4" t="inlineStr">
        <is>
          <t>ventana inicial sin histórico</t>
        </is>
      </c>
    </row>
    <row r="313">
      <c r="A313" s="4" t="inlineStr">
        <is>
          <t>MD-1200</t>
        </is>
      </c>
      <c r="B313" s="21" t="n">
        <v>45953</v>
      </c>
      <c r="C313" s="4" t="inlineStr">
        <is>
          <t>Usera</t>
        </is>
      </c>
      <c r="D313" s="4" t="n">
        <v>117</v>
      </c>
      <c r="E313" s="4" t="inlineStr">
        <is>
          <t>buen estado</t>
        </is>
      </c>
      <c r="F313" s="22" t="n">
        <v>408000</v>
      </c>
      <c r="G313" s="23" t="n">
        <v>3487.18</v>
      </c>
      <c r="H313" s="22" t="n"/>
      <c r="I313" s="23" t="n"/>
      <c r="J313" s="18" t="n"/>
      <c r="K313" s="24" t="n"/>
      <c r="L313" s="4" t="n">
        <v>0</v>
      </c>
      <c r="M313" s="4" t="inlineStr">
        <is>
          <t>sin muestra</t>
        </is>
      </c>
      <c r="N313" s="4" t="inlineStr">
        <is>
          <t>no valorable</t>
        </is>
      </c>
      <c r="O313" s="4" t="inlineStr">
        <is>
          <t>ventana inicial sin histórico</t>
        </is>
      </c>
    </row>
    <row r="314">
      <c r="A314" s="4" t="inlineStr">
        <is>
          <t>MD-0932</t>
        </is>
      </c>
      <c r="B314" s="21" t="n">
        <v>45953</v>
      </c>
      <c r="C314" s="4" t="inlineStr">
        <is>
          <t>Fuencarral-El Pardo</t>
        </is>
      </c>
      <c r="D314" s="4" t="n">
        <v>144</v>
      </c>
      <c r="E314" s="4" t="inlineStr">
        <is>
          <t>buen estado</t>
        </is>
      </c>
      <c r="F314" s="22" t="n">
        <v>959000</v>
      </c>
      <c r="G314" s="23" t="n">
        <v>6659.72</v>
      </c>
      <c r="H314" s="22" t="n"/>
      <c r="I314" s="23" t="n"/>
      <c r="J314" s="18" t="n"/>
      <c r="K314" s="24" t="n"/>
      <c r="L314" s="4" t="n">
        <v>2</v>
      </c>
      <c r="M314" s="4" t="inlineStr">
        <is>
          <t>sin muestra</t>
        </is>
      </c>
      <c r="N314" s="4" t="inlineStr">
        <is>
          <t>no valorable</t>
        </is>
      </c>
      <c r="O314" s="4" t="inlineStr">
        <is>
          <t>ventana inicial sin histórico</t>
        </is>
      </c>
    </row>
    <row r="315">
      <c r="A315" s="4" t="inlineStr">
        <is>
          <t>MD-1876</t>
        </is>
      </c>
      <c r="B315" s="21" t="n">
        <v>45953</v>
      </c>
      <c r="C315" s="4" t="inlineStr">
        <is>
          <t>Carabanchel</t>
        </is>
      </c>
      <c r="D315" s="4" t="n">
        <v>91</v>
      </c>
      <c r="E315" s="4" t="inlineStr">
        <is>
          <t>buen estado</t>
        </is>
      </c>
      <c r="F315" s="22" t="n">
        <v>226000</v>
      </c>
      <c r="G315" s="23" t="n">
        <v>2483.52</v>
      </c>
      <c r="H315" s="22" t="n">
        <v>307653</v>
      </c>
      <c r="I315" s="23" t="n">
        <v>3380.8</v>
      </c>
      <c r="J315" s="18" t="n">
        <v>-0.2654</v>
      </c>
      <c r="K315" s="24" t="n">
        <v>100</v>
      </c>
      <c r="L315" s="4" t="n">
        <v>6</v>
      </c>
      <c r="M315" s="4" t="inlineStr">
        <is>
          <t>baja</t>
        </is>
      </c>
      <c r="N315" s="4" t="inlineStr">
        <is>
          <t>por debajo de comparables</t>
        </is>
      </c>
      <c r="O315" s="4" t="n"/>
    </row>
    <row r="316">
      <c r="A316" s="4" t="inlineStr">
        <is>
          <t>MD-0030</t>
        </is>
      </c>
      <c r="B316" s="21" t="n">
        <v>45953</v>
      </c>
      <c r="C316" s="4" t="inlineStr">
        <is>
          <t>Retiro</t>
        </is>
      </c>
      <c r="D316" s="4" t="n">
        <v>64</v>
      </c>
      <c r="E316" s="4" t="inlineStr">
        <is>
          <t>buen estado</t>
        </is>
      </c>
      <c r="F316" s="22" t="n">
        <v>386000</v>
      </c>
      <c r="G316" s="23" t="n">
        <v>6031.25</v>
      </c>
      <c r="H316" s="22" t="n">
        <v>465094</v>
      </c>
      <c r="I316" s="23" t="n">
        <v>7267.1</v>
      </c>
      <c r="J316" s="18" t="n">
        <v>-0.1701</v>
      </c>
      <c r="K316" s="24" t="n">
        <v>92.5</v>
      </c>
      <c r="L316" s="4" t="n">
        <v>5</v>
      </c>
      <c r="M316" s="4" t="inlineStr">
        <is>
          <t>baja</t>
        </is>
      </c>
      <c r="N316" s="4" t="inlineStr">
        <is>
          <t>por debajo de comparables</t>
        </is>
      </c>
      <c r="O316" s="4" t="n"/>
    </row>
    <row r="317">
      <c r="A317" s="4" t="inlineStr">
        <is>
          <t>MD-0209</t>
        </is>
      </c>
      <c r="B317" s="21" t="n">
        <v>45953</v>
      </c>
      <c r="C317" s="4" t="inlineStr">
        <is>
          <t>Fuencarral-El Pardo</t>
        </is>
      </c>
      <c r="D317" s="4" t="n">
        <v>50</v>
      </c>
      <c r="E317" s="4" t="inlineStr">
        <is>
          <t>buen estado</t>
        </is>
      </c>
      <c r="F317" s="22" t="n">
        <v>264000</v>
      </c>
      <c r="G317" s="23" t="n">
        <v>5280</v>
      </c>
      <c r="H317" s="22" t="n">
        <v>280634</v>
      </c>
      <c r="I317" s="23" t="n">
        <v>5612.69</v>
      </c>
      <c r="J317" s="18" t="n">
        <v>-0.0593</v>
      </c>
      <c r="K317" s="24" t="n">
        <v>64.8</v>
      </c>
      <c r="L317" s="4" t="n">
        <v>6</v>
      </c>
      <c r="M317" s="4" t="inlineStr">
        <is>
          <t>baja</t>
        </is>
      </c>
      <c r="N317" s="4" t="inlineStr">
        <is>
          <t>en linea con comparables</t>
        </is>
      </c>
      <c r="O317" s="4" t="n"/>
    </row>
    <row r="318">
      <c r="A318" s="4" t="inlineStr">
        <is>
          <t>MD-1834</t>
        </is>
      </c>
      <c r="B318" s="21" t="n">
        <v>45953</v>
      </c>
      <c r="C318" s="4" t="inlineStr">
        <is>
          <t>Fuencarral-El Pardo</t>
        </is>
      </c>
      <c r="D318" s="4" t="n">
        <v>73</v>
      </c>
      <c r="E318" s="4" t="inlineStr">
        <is>
          <t>buen estado</t>
        </is>
      </c>
      <c r="F318" s="22" t="n">
        <v>384000</v>
      </c>
      <c r="G318" s="23" t="n">
        <v>5260.27</v>
      </c>
      <c r="H318" s="22" t="n">
        <v>321351</v>
      </c>
      <c r="I318" s="23" t="n">
        <v>4402.07</v>
      </c>
      <c r="J318" s="18" t="n">
        <v>0.195</v>
      </c>
      <c r="K318" s="24" t="n">
        <v>1.3</v>
      </c>
      <c r="L318" s="4" t="n">
        <v>6</v>
      </c>
      <c r="M318" s="4" t="inlineStr">
        <is>
          <t>baja</t>
        </is>
      </c>
      <c r="N318" s="4" t="inlineStr">
        <is>
          <t>por encima de comparables</t>
        </is>
      </c>
      <c r="O318" s="4" t="n"/>
    </row>
    <row r="319">
      <c r="A319" s="4" t="inlineStr">
        <is>
          <t>MD-1859</t>
        </is>
      </c>
      <c r="B319" s="21" t="n">
        <v>45953</v>
      </c>
      <c r="C319" s="4" t="inlineStr">
        <is>
          <t>Fuencarral-El Pardo</t>
        </is>
      </c>
      <c r="D319" s="4" t="n">
        <v>187</v>
      </c>
      <c r="E319" s="4" t="inlineStr">
        <is>
          <t>buen estado</t>
        </is>
      </c>
      <c r="F319" s="22" t="n">
        <v>1076000</v>
      </c>
      <c r="G319" s="23" t="n">
        <v>5754.01</v>
      </c>
      <c r="H319" s="22" t="n"/>
      <c r="I319" s="23" t="n"/>
      <c r="J319" s="18" t="n"/>
      <c r="K319" s="24" t="n"/>
      <c r="L319" s="4" t="n">
        <v>3</v>
      </c>
      <c r="M319" s="4" t="inlineStr">
        <is>
          <t>sin muestra</t>
        </is>
      </c>
      <c r="N319" s="4" t="inlineStr">
        <is>
          <t>no valorable</t>
        </is>
      </c>
      <c r="O319" s="4" t="inlineStr">
        <is>
          <t>ventana inicial sin histórico</t>
        </is>
      </c>
    </row>
    <row r="320">
      <c r="A320" s="4" t="inlineStr">
        <is>
          <t>MD-0273</t>
        </is>
      </c>
      <c r="B320" s="21" t="n">
        <v>45953</v>
      </c>
      <c r="C320" s="4" t="inlineStr">
        <is>
          <t>Fuencarral-El Pardo</t>
        </is>
      </c>
      <c r="D320" s="4" t="n">
        <v>161</v>
      </c>
      <c r="E320" s="4" t="inlineStr">
        <is>
          <t>buen estado</t>
        </is>
      </c>
      <c r="F320" s="22" t="n">
        <v>737000</v>
      </c>
      <c r="G320" s="23" t="n">
        <v>4577.64</v>
      </c>
      <c r="H320" s="22" t="n"/>
      <c r="I320" s="23" t="n"/>
      <c r="J320" s="18" t="n"/>
      <c r="K320" s="24" t="n"/>
      <c r="L320" s="4" t="n">
        <v>3</v>
      </c>
      <c r="M320" s="4" t="inlineStr">
        <is>
          <t>sin muestra</t>
        </is>
      </c>
      <c r="N320" s="4" t="inlineStr">
        <is>
          <t>no valorable</t>
        </is>
      </c>
      <c r="O320" s="4" t="inlineStr">
        <is>
          <t>ventana inicial sin histórico</t>
        </is>
      </c>
    </row>
    <row r="321">
      <c r="A321" s="4" t="inlineStr">
        <is>
          <t>MD-1154</t>
        </is>
      </c>
      <c r="B321" s="21" t="n">
        <v>45953</v>
      </c>
      <c r="C321" s="4" t="inlineStr">
        <is>
          <t>Vicalvaro</t>
        </is>
      </c>
      <c r="D321" s="4" t="n">
        <v>78</v>
      </c>
      <c r="E321" s="4" t="inlineStr">
        <is>
          <t>buen estado</t>
        </is>
      </c>
      <c r="F321" s="22" t="n">
        <v>229000</v>
      </c>
      <c r="G321" s="23" t="n">
        <v>2935.9</v>
      </c>
      <c r="H321" s="22" t="n">
        <v>306741</v>
      </c>
      <c r="I321" s="23" t="n">
        <v>3932.58</v>
      </c>
      <c r="J321" s="18" t="n">
        <v>-0.2534</v>
      </c>
      <c r="K321" s="24" t="n">
        <v>100</v>
      </c>
      <c r="L321" s="4" t="n">
        <v>7</v>
      </c>
      <c r="M321" s="4" t="inlineStr">
        <is>
          <t>baja</t>
        </is>
      </c>
      <c r="N321" s="4" t="inlineStr">
        <is>
          <t>por debajo de comparables</t>
        </is>
      </c>
      <c r="O321" s="4" t="n"/>
    </row>
    <row r="322">
      <c r="A322" s="4" t="inlineStr">
        <is>
          <t>MD-0026</t>
        </is>
      </c>
      <c r="B322" s="21" t="n">
        <v>45954</v>
      </c>
      <c r="C322" s="4" t="inlineStr">
        <is>
          <t>Villa de Vallecas</t>
        </is>
      </c>
      <c r="D322" s="4" t="n">
        <v>69</v>
      </c>
      <c r="E322" s="4" t="inlineStr">
        <is>
          <t>buen estado</t>
        </is>
      </c>
      <c r="F322" s="22" t="n">
        <v>267000</v>
      </c>
      <c r="G322" s="23" t="n">
        <v>3869.57</v>
      </c>
      <c r="H322" s="22" t="n">
        <v>254728</v>
      </c>
      <c r="I322" s="23" t="n">
        <v>3691.71</v>
      </c>
      <c r="J322" s="18" t="n">
        <v>0.0482</v>
      </c>
      <c r="K322" s="24" t="n">
        <v>38</v>
      </c>
      <c r="L322" s="4" t="n">
        <v>5</v>
      </c>
      <c r="M322" s="4" t="inlineStr">
        <is>
          <t>baja</t>
        </is>
      </c>
      <c r="N322" s="4" t="inlineStr">
        <is>
          <t>en linea con comparables</t>
        </is>
      </c>
      <c r="O322" s="4" t="n"/>
    </row>
    <row r="323">
      <c r="A323" s="4" t="inlineStr">
        <is>
          <t>MD-0246</t>
        </is>
      </c>
      <c r="B323" s="21" t="n">
        <v>45954</v>
      </c>
      <c r="C323" s="4" t="inlineStr">
        <is>
          <t>San Blas-Canillejas</t>
        </is>
      </c>
      <c r="D323" s="4" t="n">
        <v>43</v>
      </c>
      <c r="E323" s="4" t="inlineStr">
        <is>
          <t>reformado</t>
        </is>
      </c>
      <c r="F323" s="22" t="n">
        <v>163000</v>
      </c>
      <c r="G323" s="23" t="n">
        <v>3790.7</v>
      </c>
      <c r="H323" s="22" t="n">
        <v>175806</v>
      </c>
      <c r="I323" s="23" t="n">
        <v>4088.52</v>
      </c>
      <c r="J323" s="18" t="n">
        <v>-0.0728</v>
      </c>
      <c r="K323" s="24" t="n">
        <v>68.2</v>
      </c>
      <c r="L323" s="4" t="n">
        <v>5</v>
      </c>
      <c r="M323" s="4" t="inlineStr">
        <is>
          <t>baja</t>
        </is>
      </c>
      <c r="N323" s="4" t="inlineStr">
        <is>
          <t>en linea con comparables</t>
        </is>
      </c>
      <c r="O323" s="4" t="n"/>
    </row>
    <row r="324">
      <c r="A324" s="4" t="inlineStr">
        <is>
          <t>MD-0066</t>
        </is>
      </c>
      <c r="B324" s="21" t="n">
        <v>45954</v>
      </c>
      <c r="C324" s="4" t="inlineStr">
        <is>
          <t>Centro</t>
        </is>
      </c>
      <c r="D324" s="4" t="n">
        <v>60</v>
      </c>
      <c r="E324" s="4" t="inlineStr">
        <is>
          <t>buen estado</t>
        </is>
      </c>
      <c r="F324" s="22" t="n">
        <v>518000</v>
      </c>
      <c r="G324" s="23" t="n">
        <v>8633.33</v>
      </c>
      <c r="H324" s="22" t="n"/>
      <c r="I324" s="23" t="n"/>
      <c r="J324" s="18" t="n"/>
      <c r="K324" s="24" t="n"/>
      <c r="L324" s="4" t="n">
        <v>4</v>
      </c>
      <c r="M324" s="4" t="inlineStr">
        <is>
          <t>sin muestra</t>
        </is>
      </c>
      <c r="N324" s="4" t="inlineStr">
        <is>
          <t>no valorable</t>
        </is>
      </c>
      <c r="O324" s="4" t="inlineStr">
        <is>
          <t>ventana inicial sin histórico</t>
        </is>
      </c>
    </row>
    <row r="325">
      <c r="A325" s="4" t="inlineStr">
        <is>
          <t>MD-1958</t>
        </is>
      </c>
      <c r="B325" s="21" t="n">
        <v>45955</v>
      </c>
      <c r="C325" s="4" t="inlineStr">
        <is>
          <t>Centro</t>
        </is>
      </c>
      <c r="D325" s="4" t="n">
        <v>29</v>
      </c>
      <c r="E325" s="4" t="inlineStr">
        <is>
          <t>buen estado</t>
        </is>
      </c>
      <c r="F325" s="22" t="n">
        <v>154000</v>
      </c>
      <c r="G325" s="23" t="n">
        <v>5310.34</v>
      </c>
      <c r="H325" s="22" t="n"/>
      <c r="I325" s="23" t="n"/>
      <c r="J325" s="18" t="n"/>
      <c r="K325" s="24" t="n"/>
      <c r="L325" s="4" t="n">
        <v>2</v>
      </c>
      <c r="M325" s="4" t="inlineStr">
        <is>
          <t>sin muestra</t>
        </is>
      </c>
      <c r="N325" s="4" t="inlineStr">
        <is>
          <t>no valorable</t>
        </is>
      </c>
      <c r="O325" s="4" t="inlineStr">
        <is>
          <t>ventana inicial sin histórico</t>
        </is>
      </c>
    </row>
    <row r="326">
      <c r="A326" s="4" t="inlineStr">
        <is>
          <t>MD-1905</t>
        </is>
      </c>
      <c r="B326" s="21" t="n">
        <v>45955</v>
      </c>
      <c r="C326" s="4" t="inlineStr">
        <is>
          <t>Fuencarral-El Pardo</t>
        </is>
      </c>
      <c r="D326" s="4" t="n">
        <v>126</v>
      </c>
      <c r="E326" s="4" t="inlineStr">
        <is>
          <t>buen estado</t>
        </is>
      </c>
      <c r="F326" s="22" t="n">
        <v>702000</v>
      </c>
      <c r="G326" s="23" t="n">
        <v>5571.43</v>
      </c>
      <c r="H326" s="22" t="n"/>
      <c r="I326" s="23" t="n"/>
      <c r="J326" s="18" t="n"/>
      <c r="K326" s="24" t="n"/>
      <c r="L326" s="4" t="n">
        <v>3</v>
      </c>
      <c r="M326" s="4" t="inlineStr">
        <is>
          <t>sin muestra</t>
        </is>
      </c>
      <c r="N326" s="4" t="inlineStr">
        <is>
          <t>no valorable</t>
        </is>
      </c>
      <c r="O326" s="4" t="inlineStr">
        <is>
          <t>ventana inicial sin histórico</t>
        </is>
      </c>
    </row>
    <row r="327">
      <c r="A327" s="4" t="inlineStr">
        <is>
          <t>MD-1848</t>
        </is>
      </c>
      <c r="B327" s="21" t="n">
        <v>45955</v>
      </c>
      <c r="C327" s="4" t="inlineStr">
        <is>
          <t>Puente de Vallecas</t>
        </is>
      </c>
      <c r="D327" s="4" t="n">
        <v>62</v>
      </c>
      <c r="E327" s="4" t="inlineStr">
        <is>
          <t>obra nueva</t>
        </is>
      </c>
      <c r="F327" s="22" t="n">
        <v>187000</v>
      </c>
      <c r="G327" s="23" t="n">
        <v>3016.13</v>
      </c>
      <c r="H327" s="22" t="n">
        <v>218604</v>
      </c>
      <c r="I327" s="23" t="n">
        <v>3525.87</v>
      </c>
      <c r="J327" s="18" t="n">
        <v>-0.1446</v>
      </c>
      <c r="K327" s="24" t="n">
        <v>86.09999999999999</v>
      </c>
      <c r="L327" s="4" t="n">
        <v>19</v>
      </c>
      <c r="M327" s="4" t="inlineStr">
        <is>
          <t>alta</t>
        </is>
      </c>
      <c r="N327" s="4" t="inlineStr">
        <is>
          <t>por debajo de comparables</t>
        </is>
      </c>
      <c r="O327" s="4" t="n"/>
    </row>
    <row r="328">
      <c r="A328" s="4" t="inlineStr">
        <is>
          <t>MD-1258</t>
        </is>
      </c>
      <c r="B328" s="21" t="n">
        <v>45955</v>
      </c>
      <c r="C328" s="4" t="inlineStr">
        <is>
          <t>Chamartin</t>
        </is>
      </c>
      <c r="D328" s="4" t="n">
        <v>71</v>
      </c>
      <c r="E328" s="4" t="inlineStr">
        <is>
          <t>a reformar</t>
        </is>
      </c>
      <c r="F328" s="22" t="n">
        <v>392000</v>
      </c>
      <c r="G328" s="23" t="n">
        <v>5521.13</v>
      </c>
      <c r="H328" s="22" t="n">
        <v>472524</v>
      </c>
      <c r="I328" s="23" t="n">
        <v>6655.27</v>
      </c>
      <c r="J328" s="18" t="n">
        <v>-0.1704</v>
      </c>
      <c r="K328" s="24" t="n">
        <v>92.59999999999999</v>
      </c>
      <c r="L328" s="4" t="n">
        <v>5</v>
      </c>
      <c r="M328" s="4" t="inlineStr">
        <is>
          <t>baja</t>
        </is>
      </c>
      <c r="N328" s="4" t="inlineStr">
        <is>
          <t>por debajo de comparables</t>
        </is>
      </c>
      <c r="O328" s="4" t="n"/>
    </row>
    <row r="329">
      <c r="A329" s="4" t="inlineStr">
        <is>
          <t>MD-1101</t>
        </is>
      </c>
      <c r="B329" s="21" t="n">
        <v>45955</v>
      </c>
      <c r="C329" s="4" t="inlineStr">
        <is>
          <t>Latina</t>
        </is>
      </c>
      <c r="D329" s="4" t="n">
        <v>84</v>
      </c>
      <c r="E329" s="4" t="inlineStr">
        <is>
          <t>buen estado</t>
        </is>
      </c>
      <c r="F329" s="22" t="n">
        <v>284000</v>
      </c>
      <c r="G329" s="23" t="n">
        <v>3380.95</v>
      </c>
      <c r="H329" s="22" t="n">
        <v>245950</v>
      </c>
      <c r="I329" s="23" t="n">
        <v>2927.98</v>
      </c>
      <c r="J329" s="18" t="n">
        <v>0.1547</v>
      </c>
      <c r="K329" s="24" t="n">
        <v>11.3</v>
      </c>
      <c r="L329" s="4" t="n">
        <v>10</v>
      </c>
      <c r="M329" s="4" t="inlineStr">
        <is>
          <t>media</t>
        </is>
      </c>
      <c r="N329" s="4" t="inlineStr">
        <is>
          <t>por encima de comparables</t>
        </is>
      </c>
      <c r="O329" s="4" t="n"/>
    </row>
    <row r="330">
      <c r="A330" s="4" t="inlineStr">
        <is>
          <t>MD-1737</t>
        </is>
      </c>
      <c r="B330" s="21" t="n">
        <v>45955</v>
      </c>
      <c r="C330" s="4" t="inlineStr">
        <is>
          <t>Villa de Vallecas</t>
        </is>
      </c>
      <c r="D330" s="4" t="n">
        <v>42</v>
      </c>
      <c r="E330" s="4" t="inlineStr">
        <is>
          <t>obra nueva</t>
        </is>
      </c>
      <c r="F330" s="22" t="n">
        <v>203000</v>
      </c>
      <c r="G330" s="23" t="n">
        <v>4833.33</v>
      </c>
      <c r="H330" s="22" t="n"/>
      <c r="I330" s="23" t="n"/>
      <c r="J330" s="18" t="n"/>
      <c r="K330" s="24" t="n"/>
      <c r="L330" s="4" t="n">
        <v>0</v>
      </c>
      <c r="M330" s="4" t="inlineStr">
        <is>
          <t>sin muestra</t>
        </is>
      </c>
      <c r="N330" s="4" t="inlineStr">
        <is>
          <t>no valorable</t>
        </is>
      </c>
      <c r="O330" s="4" t="inlineStr">
        <is>
          <t>ventana inicial sin histórico</t>
        </is>
      </c>
    </row>
    <row r="331">
      <c r="A331" s="4" t="inlineStr">
        <is>
          <t>MD-1452</t>
        </is>
      </c>
      <c r="B331" s="21" t="n">
        <v>45955</v>
      </c>
      <c r="C331" s="4" t="inlineStr">
        <is>
          <t>Latina</t>
        </is>
      </c>
      <c r="D331" s="4" t="n">
        <v>72</v>
      </c>
      <c r="E331" s="4" t="inlineStr">
        <is>
          <t>buen estado</t>
        </is>
      </c>
      <c r="F331" s="22" t="n">
        <v>297000</v>
      </c>
      <c r="G331" s="23" t="n">
        <v>4125</v>
      </c>
      <c r="H331" s="22" t="n">
        <v>216367</v>
      </c>
      <c r="I331" s="23" t="n">
        <v>3005.09</v>
      </c>
      <c r="J331" s="18" t="n">
        <v>0.3727</v>
      </c>
      <c r="K331" s="24" t="n">
        <v>0</v>
      </c>
      <c r="L331" s="4" t="n">
        <v>14</v>
      </c>
      <c r="M331" s="4" t="inlineStr">
        <is>
          <t>media</t>
        </is>
      </c>
      <c r="N331" s="4" t="inlineStr">
        <is>
          <t>por encima de comparables</t>
        </is>
      </c>
      <c r="O331" s="4" t="n"/>
    </row>
    <row r="332">
      <c r="A332" s="4" t="inlineStr">
        <is>
          <t>MD-0983</t>
        </is>
      </c>
      <c r="B332" s="21" t="n">
        <v>45956</v>
      </c>
      <c r="C332" s="4" t="inlineStr">
        <is>
          <t>Latina</t>
        </is>
      </c>
      <c r="D332" s="4" t="n">
        <v>79</v>
      </c>
      <c r="E332" s="4" t="inlineStr">
        <is>
          <t>reformado</t>
        </is>
      </c>
      <c r="F332" s="22" t="n">
        <v>355000</v>
      </c>
      <c r="G332" s="23" t="n">
        <v>4493.67</v>
      </c>
      <c r="H332" s="22" t="n">
        <v>265676</v>
      </c>
      <c r="I332" s="23" t="n">
        <v>3362.98</v>
      </c>
      <c r="J332" s="18" t="n">
        <v>0.3362</v>
      </c>
      <c r="K332" s="24" t="n">
        <v>0</v>
      </c>
      <c r="L332" s="4" t="n">
        <v>16</v>
      </c>
      <c r="M332" s="4" t="inlineStr">
        <is>
          <t>media</t>
        </is>
      </c>
      <c r="N332" s="4" t="inlineStr">
        <is>
          <t>por encima de comparables</t>
        </is>
      </c>
      <c r="O332" s="4" t="n"/>
    </row>
    <row r="333">
      <c r="A333" s="4" t="inlineStr">
        <is>
          <t>MD-0007</t>
        </is>
      </c>
      <c r="B333" s="21" t="n">
        <v>45956</v>
      </c>
      <c r="C333" s="4" t="inlineStr">
        <is>
          <t>Puente de Vallecas</t>
        </is>
      </c>
      <c r="D333" s="4" t="n">
        <v>53</v>
      </c>
      <c r="E333" s="4" t="inlineStr">
        <is>
          <t>a reformar</t>
        </is>
      </c>
      <c r="F333" s="22" t="n">
        <v>157000</v>
      </c>
      <c r="G333" s="23" t="n">
        <v>2962.26</v>
      </c>
      <c r="H333" s="22" t="n">
        <v>126358</v>
      </c>
      <c r="I333" s="23" t="n">
        <v>2384.11</v>
      </c>
      <c r="J333" s="18" t="n">
        <v>0.2425</v>
      </c>
      <c r="K333" s="24" t="n">
        <v>0</v>
      </c>
      <c r="L333" s="4" t="n">
        <v>14</v>
      </c>
      <c r="M333" s="4" t="inlineStr">
        <is>
          <t>media</t>
        </is>
      </c>
      <c r="N333" s="4" t="inlineStr">
        <is>
          <t>por encima de comparables</t>
        </is>
      </c>
      <c r="O333" s="4" t="n"/>
    </row>
    <row r="334">
      <c r="A334" s="4" t="inlineStr">
        <is>
          <t>MD-0037</t>
        </is>
      </c>
      <c r="B334" s="21" t="n">
        <v>45956</v>
      </c>
      <c r="C334" s="4" t="inlineStr">
        <is>
          <t>Salamanca</t>
        </is>
      </c>
      <c r="D334" s="4" t="n">
        <v>54</v>
      </c>
      <c r="E334" s="4" t="inlineStr">
        <is>
          <t>buen estado</t>
        </is>
      </c>
      <c r="F334" s="22" t="n">
        <v>372000</v>
      </c>
      <c r="G334" s="23" t="n">
        <v>6888.89</v>
      </c>
      <c r="H334" s="22" t="n">
        <v>367551</v>
      </c>
      <c r="I334" s="23" t="n">
        <v>6806.5</v>
      </c>
      <c r="J334" s="18" t="n">
        <v>0.0121</v>
      </c>
      <c r="K334" s="24" t="n">
        <v>47</v>
      </c>
      <c r="L334" s="4" t="n">
        <v>5</v>
      </c>
      <c r="M334" s="4" t="inlineStr">
        <is>
          <t>baja</t>
        </is>
      </c>
      <c r="N334" s="4" t="inlineStr">
        <is>
          <t>en linea con comparables</t>
        </is>
      </c>
      <c r="O334" s="4" t="n"/>
    </row>
    <row r="335">
      <c r="A335" s="4" t="inlineStr">
        <is>
          <t>MD-0840</t>
        </is>
      </c>
      <c r="B335" s="21" t="n">
        <v>45956</v>
      </c>
      <c r="C335" s="4" t="inlineStr">
        <is>
          <t>Carabanchel</t>
        </is>
      </c>
      <c r="D335" s="4" t="n">
        <v>64</v>
      </c>
      <c r="E335" s="4" t="inlineStr">
        <is>
          <t>a reformar</t>
        </is>
      </c>
      <c r="F335" s="22" t="n">
        <v>204000</v>
      </c>
      <c r="G335" s="23" t="n">
        <v>3187.5</v>
      </c>
      <c r="H335" s="22" t="n">
        <v>182904</v>
      </c>
      <c r="I335" s="23" t="n">
        <v>2857.88</v>
      </c>
      <c r="J335" s="18" t="n">
        <v>0.1153</v>
      </c>
      <c r="K335" s="24" t="n">
        <v>21.2</v>
      </c>
      <c r="L335" s="4" t="n">
        <v>6</v>
      </c>
      <c r="M335" s="4" t="inlineStr">
        <is>
          <t>baja</t>
        </is>
      </c>
      <c r="N335" s="4" t="inlineStr">
        <is>
          <t>por encima de comparables</t>
        </is>
      </c>
      <c r="O335" s="4" t="n"/>
    </row>
    <row r="336">
      <c r="A336" s="4" t="inlineStr">
        <is>
          <t>MD-0287</t>
        </is>
      </c>
      <c r="B336" s="21" t="n">
        <v>45956</v>
      </c>
      <c r="C336" s="4" t="inlineStr">
        <is>
          <t>Arganzuela</t>
        </is>
      </c>
      <c r="D336" s="4" t="n">
        <v>150</v>
      </c>
      <c r="E336" s="4" t="inlineStr">
        <is>
          <t>a reformar</t>
        </is>
      </c>
      <c r="F336" s="22" t="n">
        <v>719000</v>
      </c>
      <c r="G336" s="23" t="n">
        <v>4793.33</v>
      </c>
      <c r="H336" s="22" t="n"/>
      <c r="I336" s="23" t="n"/>
      <c r="J336" s="18" t="n"/>
      <c r="K336" s="24" t="n"/>
      <c r="L336" s="4" t="n">
        <v>3</v>
      </c>
      <c r="M336" s="4" t="inlineStr">
        <is>
          <t>sin muestra</t>
        </is>
      </c>
      <c r="N336" s="4" t="inlineStr">
        <is>
          <t>no valorable</t>
        </is>
      </c>
      <c r="O336" s="4" t="inlineStr">
        <is>
          <t>ventana inicial sin histórico</t>
        </is>
      </c>
    </row>
    <row r="337">
      <c r="A337" s="4" t="inlineStr">
        <is>
          <t>MD-1080</t>
        </is>
      </c>
      <c r="B337" s="21" t="n">
        <v>45956</v>
      </c>
      <c r="C337" s="4" t="inlineStr">
        <is>
          <t>Chamartin</t>
        </is>
      </c>
      <c r="D337" s="4" t="n">
        <v>60</v>
      </c>
      <c r="E337" s="4" t="inlineStr">
        <is>
          <t>buen estado</t>
        </is>
      </c>
      <c r="F337" s="22" t="n">
        <v>452000</v>
      </c>
      <c r="G337" s="23" t="n">
        <v>7533.33</v>
      </c>
      <c r="H337" s="22" t="n">
        <v>476857</v>
      </c>
      <c r="I337" s="23" t="n">
        <v>7947.62</v>
      </c>
      <c r="J337" s="18" t="n">
        <v>-0.0521</v>
      </c>
      <c r="K337" s="24" t="n">
        <v>63</v>
      </c>
      <c r="L337" s="4" t="n">
        <v>6</v>
      </c>
      <c r="M337" s="4" t="inlineStr">
        <is>
          <t>baja</t>
        </is>
      </c>
      <c r="N337" s="4" t="inlineStr">
        <is>
          <t>en linea con comparables</t>
        </is>
      </c>
      <c r="O337" s="4" t="n"/>
    </row>
    <row r="338">
      <c r="A338" s="4" t="inlineStr">
        <is>
          <t>MD-0117</t>
        </is>
      </c>
      <c r="B338" s="21" t="n">
        <v>45956</v>
      </c>
      <c r="C338" s="4" t="inlineStr">
        <is>
          <t>Latina</t>
        </is>
      </c>
      <c r="D338" s="4" t="n">
        <v>97</v>
      </c>
      <c r="E338" s="4" t="inlineStr">
        <is>
          <t>buen estado</t>
        </is>
      </c>
      <c r="F338" s="22" t="n">
        <v>351000</v>
      </c>
      <c r="G338" s="23" t="n">
        <v>3618.56</v>
      </c>
      <c r="H338" s="22" t="n">
        <v>289438</v>
      </c>
      <c r="I338" s="23" t="n">
        <v>2983.9</v>
      </c>
      <c r="J338" s="18" t="n">
        <v>0.2127</v>
      </c>
      <c r="K338" s="24" t="n">
        <v>0</v>
      </c>
      <c r="L338" s="4" t="n">
        <v>5</v>
      </c>
      <c r="M338" s="4" t="inlineStr">
        <is>
          <t>baja</t>
        </is>
      </c>
      <c r="N338" s="4" t="inlineStr">
        <is>
          <t>por encima de comparables</t>
        </is>
      </c>
      <c r="O338" s="4" t="n"/>
    </row>
    <row r="339">
      <c r="A339" s="4" t="inlineStr">
        <is>
          <t>MD-0790</t>
        </is>
      </c>
      <c r="B339" s="21" t="n">
        <v>45957</v>
      </c>
      <c r="C339" s="4" t="inlineStr">
        <is>
          <t>Carabanchel</t>
        </is>
      </c>
      <c r="D339" s="4" t="n">
        <v>67</v>
      </c>
      <c r="E339" s="4" t="inlineStr">
        <is>
          <t>a reformar</t>
        </is>
      </c>
      <c r="F339" s="22" t="n">
        <v>204000</v>
      </c>
      <c r="G339" s="23" t="n">
        <v>3044.78</v>
      </c>
      <c r="H339" s="22" t="n">
        <v>179580</v>
      </c>
      <c r="I339" s="23" t="n">
        <v>2680.3</v>
      </c>
      <c r="J339" s="18" t="n">
        <v>0.136</v>
      </c>
      <c r="K339" s="24" t="n">
        <v>16</v>
      </c>
      <c r="L339" s="4" t="n">
        <v>7</v>
      </c>
      <c r="M339" s="4" t="inlineStr">
        <is>
          <t>baja</t>
        </is>
      </c>
      <c r="N339" s="4" t="inlineStr">
        <is>
          <t>por encima de comparables</t>
        </is>
      </c>
      <c r="O339" s="4" t="n"/>
    </row>
    <row r="340">
      <c r="A340" s="4" t="inlineStr">
        <is>
          <t>MD-0876</t>
        </is>
      </c>
      <c r="B340" s="21" t="n">
        <v>45957</v>
      </c>
      <c r="C340" s="4" t="inlineStr">
        <is>
          <t>Moratalaz</t>
        </is>
      </c>
      <c r="D340" s="4" t="n">
        <v>91</v>
      </c>
      <c r="E340" s="4" t="inlineStr">
        <is>
          <t>reformado</t>
        </is>
      </c>
      <c r="F340" s="22" t="n">
        <v>326000</v>
      </c>
      <c r="G340" s="23" t="n">
        <v>3582.42</v>
      </c>
      <c r="H340" s="22" t="n"/>
      <c r="I340" s="23" t="n"/>
      <c r="J340" s="18" t="n"/>
      <c r="K340" s="24" t="n"/>
      <c r="L340" s="4" t="n">
        <v>3</v>
      </c>
      <c r="M340" s="4" t="inlineStr">
        <is>
          <t>sin muestra</t>
        </is>
      </c>
      <c r="N340" s="4" t="inlineStr">
        <is>
          <t>no valorable</t>
        </is>
      </c>
      <c r="O340" s="4" t="inlineStr">
        <is>
          <t>ventana inicial sin histórico</t>
        </is>
      </c>
    </row>
    <row r="341">
      <c r="A341" s="4" t="inlineStr">
        <is>
          <t>MD-0610</t>
        </is>
      </c>
      <c r="B341" s="21" t="n">
        <v>45957</v>
      </c>
      <c r="C341" s="4" t="inlineStr">
        <is>
          <t>Villa de Vallecas</t>
        </is>
      </c>
      <c r="D341" s="4" t="n">
        <v>44</v>
      </c>
      <c r="E341" s="4" t="inlineStr">
        <is>
          <t>buen estado</t>
        </is>
      </c>
      <c r="F341" s="22" t="n">
        <v>165000</v>
      </c>
      <c r="G341" s="23" t="n">
        <v>3750</v>
      </c>
      <c r="H341" s="22" t="n"/>
      <c r="I341" s="23" t="n"/>
      <c r="J341" s="18" t="n"/>
      <c r="K341" s="24" t="n"/>
      <c r="L341" s="4" t="n">
        <v>1</v>
      </c>
      <c r="M341" s="4" t="inlineStr">
        <is>
          <t>sin muestra</t>
        </is>
      </c>
      <c r="N341" s="4" t="inlineStr">
        <is>
          <t>no valorable</t>
        </is>
      </c>
      <c r="O341" s="4" t="inlineStr">
        <is>
          <t>ventana inicial sin histórico</t>
        </is>
      </c>
    </row>
    <row r="342">
      <c r="A342" s="4" t="inlineStr">
        <is>
          <t>MD-1528</t>
        </is>
      </c>
      <c r="B342" s="21" t="n">
        <v>45957</v>
      </c>
      <c r="C342" s="4" t="inlineStr">
        <is>
          <t>Villa de Vallecas</t>
        </is>
      </c>
      <c r="D342" s="4" t="n">
        <v>115</v>
      </c>
      <c r="E342" s="4" t="inlineStr">
        <is>
          <t>obra nueva</t>
        </is>
      </c>
      <c r="F342" s="22" t="n">
        <v>383000</v>
      </c>
      <c r="G342" s="23" t="n">
        <v>3330.43</v>
      </c>
      <c r="H342" s="22" t="n"/>
      <c r="I342" s="23" t="n"/>
      <c r="J342" s="18" t="n"/>
      <c r="K342" s="24" t="n"/>
      <c r="L342" s="4" t="n">
        <v>0</v>
      </c>
      <c r="M342" s="4" t="inlineStr">
        <is>
          <t>sin muestra</t>
        </is>
      </c>
      <c r="N342" s="4" t="inlineStr">
        <is>
          <t>no valorable</t>
        </is>
      </c>
      <c r="O342" s="4" t="inlineStr">
        <is>
          <t>ventana inicial sin histórico</t>
        </is>
      </c>
    </row>
    <row r="343">
      <c r="A343" s="4" t="inlineStr">
        <is>
          <t>MD-0326</t>
        </is>
      </c>
      <c r="B343" s="21" t="n">
        <v>45957</v>
      </c>
      <c r="C343" s="4" t="inlineStr">
        <is>
          <t>Latina</t>
        </is>
      </c>
      <c r="D343" s="4" t="n">
        <v>73</v>
      </c>
      <c r="E343" s="4" t="inlineStr">
        <is>
          <t>a reformar</t>
        </is>
      </c>
      <c r="F343" s="22" t="n">
        <v>203000</v>
      </c>
      <c r="G343" s="23" t="n">
        <v>2780.82</v>
      </c>
      <c r="H343" s="22" t="n">
        <v>193258</v>
      </c>
      <c r="I343" s="23" t="n">
        <v>2647.36</v>
      </c>
      <c r="J343" s="18" t="n">
        <v>0.0504</v>
      </c>
      <c r="K343" s="24" t="n">
        <v>37.4</v>
      </c>
      <c r="L343" s="4" t="n">
        <v>18</v>
      </c>
      <c r="M343" s="4" t="inlineStr">
        <is>
          <t>media</t>
        </is>
      </c>
      <c r="N343" s="4" t="inlineStr">
        <is>
          <t>en linea con comparables</t>
        </is>
      </c>
      <c r="O343" s="4" t="n"/>
    </row>
    <row r="344">
      <c r="A344" s="4" t="inlineStr">
        <is>
          <t>MD-0642</t>
        </is>
      </c>
      <c r="B344" s="21" t="n">
        <v>45958</v>
      </c>
      <c r="C344" s="4" t="inlineStr">
        <is>
          <t>Carabanchel</t>
        </is>
      </c>
      <c r="D344" s="4" t="n">
        <v>63</v>
      </c>
      <c r="E344" s="4" t="inlineStr">
        <is>
          <t>buen estado</t>
        </is>
      </c>
      <c r="F344" s="22" t="n">
        <v>322000</v>
      </c>
      <c r="G344" s="23" t="n">
        <v>5111.11</v>
      </c>
      <c r="H344" s="22" t="n">
        <v>221347</v>
      </c>
      <c r="I344" s="23" t="n">
        <v>3513.45</v>
      </c>
      <c r="J344" s="18" t="n">
        <v>0.4547</v>
      </c>
      <c r="K344" s="24" t="n">
        <v>0</v>
      </c>
      <c r="L344" s="4" t="n">
        <v>9</v>
      </c>
      <c r="M344" s="4" t="inlineStr">
        <is>
          <t>media</t>
        </is>
      </c>
      <c r="N344" s="4" t="inlineStr">
        <is>
          <t>por encima de comparables</t>
        </is>
      </c>
      <c r="O344" s="4" t="n"/>
    </row>
    <row r="345">
      <c r="A345" s="4" t="inlineStr">
        <is>
          <t>MD-1299</t>
        </is>
      </c>
      <c r="B345" s="21" t="n">
        <v>45958</v>
      </c>
      <c r="C345" s="4" t="inlineStr">
        <is>
          <t>Chamartin</t>
        </is>
      </c>
      <c r="D345" s="4" t="n">
        <v>29</v>
      </c>
      <c r="E345" s="4" t="inlineStr">
        <is>
          <t>a reformar</t>
        </is>
      </c>
      <c r="F345" s="22" t="n">
        <v>152000</v>
      </c>
      <c r="G345" s="23" t="n">
        <v>5241.38</v>
      </c>
      <c r="H345" s="22" t="n"/>
      <c r="I345" s="23" t="n"/>
      <c r="J345" s="18" t="n"/>
      <c r="K345" s="24" t="n"/>
      <c r="L345" s="4" t="n">
        <v>0</v>
      </c>
      <c r="M345" s="4" t="inlineStr">
        <is>
          <t>sin muestra</t>
        </is>
      </c>
      <c r="N345" s="4" t="inlineStr">
        <is>
          <t>no valorable</t>
        </is>
      </c>
      <c r="O345" s="4" t="inlineStr">
        <is>
          <t>ventana inicial sin histórico</t>
        </is>
      </c>
    </row>
    <row r="346">
      <c r="A346" s="4" t="inlineStr">
        <is>
          <t>MD-1419</t>
        </is>
      </c>
      <c r="B346" s="21" t="n">
        <v>45958</v>
      </c>
      <c r="C346" s="4" t="inlineStr">
        <is>
          <t>Usera</t>
        </is>
      </c>
      <c r="D346" s="4" t="n">
        <v>97</v>
      </c>
      <c r="E346" s="4" t="inlineStr">
        <is>
          <t>a reformar</t>
        </is>
      </c>
      <c r="F346" s="22" t="n">
        <v>239000</v>
      </c>
      <c r="G346" s="23" t="n">
        <v>2463.92</v>
      </c>
      <c r="H346" s="22" t="n"/>
      <c r="I346" s="23" t="n"/>
      <c r="J346" s="18" t="n"/>
      <c r="K346" s="24" t="n"/>
      <c r="L346" s="4" t="n">
        <v>4</v>
      </c>
      <c r="M346" s="4" t="inlineStr">
        <is>
          <t>sin muestra</t>
        </is>
      </c>
      <c r="N346" s="4" t="inlineStr">
        <is>
          <t>no valorable</t>
        </is>
      </c>
      <c r="O346" s="4" t="inlineStr">
        <is>
          <t>ventana inicial sin histórico</t>
        </is>
      </c>
    </row>
    <row r="347">
      <c r="A347" s="4" t="inlineStr">
        <is>
          <t>MD-1117</t>
        </is>
      </c>
      <c r="B347" s="21" t="n">
        <v>45959</v>
      </c>
      <c r="C347" s="4" t="inlineStr">
        <is>
          <t>Villaverde</t>
        </is>
      </c>
      <c r="D347" s="4" t="n">
        <v>51</v>
      </c>
      <c r="E347" s="4" t="inlineStr">
        <is>
          <t>reformado</t>
        </is>
      </c>
      <c r="F347" s="22" t="n">
        <v>162000</v>
      </c>
      <c r="G347" s="23" t="n">
        <v>3176.47</v>
      </c>
      <c r="H347" s="22" t="n"/>
      <c r="I347" s="23" t="n"/>
      <c r="J347" s="18" t="n"/>
      <c r="K347" s="24" t="n"/>
      <c r="L347" s="4" t="n">
        <v>0</v>
      </c>
      <c r="M347" s="4" t="inlineStr">
        <is>
          <t>sin muestra</t>
        </is>
      </c>
      <c r="N347" s="4" t="inlineStr">
        <is>
          <t>no valorable</t>
        </is>
      </c>
      <c r="O347" s="4" t="inlineStr">
        <is>
          <t>ventana inicial sin histórico</t>
        </is>
      </c>
    </row>
    <row r="348">
      <c r="A348" s="4" t="inlineStr">
        <is>
          <t>MD-1471</t>
        </is>
      </c>
      <c r="B348" s="21" t="n">
        <v>45959</v>
      </c>
      <c r="C348" s="4" t="inlineStr">
        <is>
          <t>Carabanchel</t>
        </is>
      </c>
      <c r="D348" s="4" t="n">
        <v>182</v>
      </c>
      <c r="E348" s="4" t="inlineStr">
        <is>
          <t>obra nueva</t>
        </is>
      </c>
      <c r="F348" s="22" t="n">
        <v>753000</v>
      </c>
      <c r="G348" s="23" t="n">
        <v>4137.36</v>
      </c>
      <c r="H348" s="22" t="n"/>
      <c r="I348" s="23" t="n"/>
      <c r="J348" s="18" t="n"/>
      <c r="K348" s="24" t="n"/>
      <c r="L348" s="4" t="n">
        <v>2</v>
      </c>
      <c r="M348" s="4" t="inlineStr">
        <is>
          <t>sin muestra</t>
        </is>
      </c>
      <c r="N348" s="4" t="inlineStr">
        <is>
          <t>no valorable</t>
        </is>
      </c>
      <c r="O348" s="4" t="inlineStr">
        <is>
          <t>ventana inicial sin histórico</t>
        </is>
      </c>
    </row>
    <row r="349">
      <c r="A349" s="4" t="inlineStr">
        <is>
          <t>MD-1426</t>
        </is>
      </c>
      <c r="B349" s="21" t="n">
        <v>45959</v>
      </c>
      <c r="C349" s="4" t="inlineStr">
        <is>
          <t>Hortaleza</t>
        </is>
      </c>
      <c r="D349" s="4" t="n">
        <v>68</v>
      </c>
      <c r="E349" s="4" t="inlineStr">
        <is>
          <t>a reformar</t>
        </is>
      </c>
      <c r="F349" s="22" t="n">
        <v>268000</v>
      </c>
      <c r="G349" s="23" t="n">
        <v>3941.18</v>
      </c>
      <c r="H349" s="22" t="n"/>
      <c r="I349" s="23" t="n"/>
      <c r="J349" s="18" t="n"/>
      <c r="K349" s="24" t="n"/>
      <c r="L349" s="4" t="n">
        <v>1</v>
      </c>
      <c r="M349" s="4" t="inlineStr">
        <is>
          <t>sin muestra</t>
        </is>
      </c>
      <c r="N349" s="4" t="inlineStr">
        <is>
          <t>no valorable</t>
        </is>
      </c>
      <c r="O349" s="4" t="inlineStr">
        <is>
          <t>ventana inicial sin histórico</t>
        </is>
      </c>
    </row>
    <row r="350">
      <c r="A350" s="4" t="inlineStr">
        <is>
          <t>MD-0496</t>
        </is>
      </c>
      <c r="B350" s="21" t="n">
        <v>45959</v>
      </c>
      <c r="C350" s="4" t="inlineStr">
        <is>
          <t>Villa de Vallecas</t>
        </is>
      </c>
      <c r="D350" s="4" t="n">
        <v>90</v>
      </c>
      <c r="E350" s="4" t="inlineStr">
        <is>
          <t>a reformar</t>
        </is>
      </c>
      <c r="F350" s="22" t="n">
        <v>280000</v>
      </c>
      <c r="G350" s="23" t="n">
        <v>3111.11</v>
      </c>
      <c r="H350" s="22" t="n"/>
      <c r="I350" s="23" t="n"/>
      <c r="J350" s="18" t="n"/>
      <c r="K350" s="24" t="n"/>
      <c r="L350" s="4" t="n">
        <v>3</v>
      </c>
      <c r="M350" s="4" t="inlineStr">
        <is>
          <t>sin muestra</t>
        </is>
      </c>
      <c r="N350" s="4" t="inlineStr">
        <is>
          <t>no valorable</t>
        </is>
      </c>
      <c r="O350" s="4" t="inlineStr">
        <is>
          <t>ventana inicial sin histórico</t>
        </is>
      </c>
    </row>
    <row r="351">
      <c r="A351" s="4" t="inlineStr">
        <is>
          <t>MD-1417</t>
        </is>
      </c>
      <c r="B351" s="21" t="n">
        <v>45960</v>
      </c>
      <c r="C351" s="4" t="inlineStr">
        <is>
          <t>Retiro</t>
        </is>
      </c>
      <c r="D351" s="4" t="n">
        <v>85</v>
      </c>
      <c r="E351" s="4" t="inlineStr">
        <is>
          <t>reformado</t>
        </is>
      </c>
      <c r="F351" s="22" t="n">
        <v>701000</v>
      </c>
      <c r="G351" s="23" t="n">
        <v>8247.059999999999</v>
      </c>
      <c r="H351" s="22" t="n">
        <v>600718</v>
      </c>
      <c r="I351" s="23" t="n">
        <v>7067.27</v>
      </c>
      <c r="J351" s="18" t="n">
        <v>0.1669</v>
      </c>
      <c r="K351" s="24" t="n">
        <v>8.300000000000001</v>
      </c>
      <c r="L351" s="4" t="n">
        <v>8</v>
      </c>
      <c r="M351" s="4" t="inlineStr">
        <is>
          <t>media</t>
        </is>
      </c>
      <c r="N351" s="4" t="inlineStr">
        <is>
          <t>por encima de comparables</t>
        </is>
      </c>
      <c r="O351" s="4" t="n"/>
    </row>
    <row r="352">
      <c r="A352" s="4" t="inlineStr">
        <is>
          <t>MD-0478</t>
        </is>
      </c>
      <c r="B352" s="21" t="n">
        <v>45960</v>
      </c>
      <c r="C352" s="4" t="inlineStr">
        <is>
          <t>Villa de Vallecas</t>
        </is>
      </c>
      <c r="D352" s="4" t="n">
        <v>59</v>
      </c>
      <c r="E352" s="4" t="inlineStr">
        <is>
          <t>buen estado</t>
        </is>
      </c>
      <c r="F352" s="22" t="n">
        <v>205000</v>
      </c>
      <c r="G352" s="23" t="n">
        <v>3474.58</v>
      </c>
      <c r="H352" s="22" t="n"/>
      <c r="I352" s="23" t="n"/>
      <c r="J352" s="18" t="n"/>
      <c r="K352" s="24" t="n"/>
      <c r="L352" s="4" t="n">
        <v>3</v>
      </c>
      <c r="M352" s="4" t="inlineStr">
        <is>
          <t>sin muestra</t>
        </is>
      </c>
      <c r="N352" s="4" t="inlineStr">
        <is>
          <t>no valorable</t>
        </is>
      </c>
      <c r="O352" s="4" t="inlineStr">
        <is>
          <t>ventana inicial sin histórico</t>
        </is>
      </c>
    </row>
    <row r="353">
      <c r="A353" s="4" t="inlineStr">
        <is>
          <t>MD-1285</t>
        </is>
      </c>
      <c r="B353" s="21" t="n">
        <v>45960</v>
      </c>
      <c r="C353" s="4" t="inlineStr">
        <is>
          <t>Tetuan</t>
        </is>
      </c>
      <c r="D353" s="4" t="n">
        <v>47</v>
      </c>
      <c r="E353" s="4" t="inlineStr">
        <is>
          <t>buen estado</t>
        </is>
      </c>
      <c r="F353" s="22" t="n">
        <v>198000</v>
      </c>
      <c r="G353" s="23" t="n">
        <v>4212.77</v>
      </c>
      <c r="H353" s="22" t="n">
        <v>227689</v>
      </c>
      <c r="I353" s="23" t="n">
        <v>4844.44</v>
      </c>
      <c r="J353" s="18" t="n">
        <v>-0.1304</v>
      </c>
      <c r="K353" s="24" t="n">
        <v>82.59999999999999</v>
      </c>
      <c r="L353" s="4" t="n">
        <v>5</v>
      </c>
      <c r="M353" s="4" t="inlineStr">
        <is>
          <t>baja</t>
        </is>
      </c>
      <c r="N353" s="4" t="inlineStr">
        <is>
          <t>por debajo de comparables</t>
        </is>
      </c>
      <c r="O353" s="4" t="n"/>
    </row>
    <row r="354">
      <c r="A354" s="4" t="inlineStr">
        <is>
          <t>MD-0052</t>
        </is>
      </c>
      <c r="B354" s="21" t="n">
        <v>45960</v>
      </c>
      <c r="C354" s="4" t="inlineStr">
        <is>
          <t>San Blas-Canillejas</t>
        </is>
      </c>
      <c r="D354" s="4" t="n">
        <v>120</v>
      </c>
      <c r="E354" s="4" t="inlineStr">
        <is>
          <t>reformado</t>
        </is>
      </c>
      <c r="F354" s="22" t="n">
        <v>576000</v>
      </c>
      <c r="G354" s="23" t="n">
        <v>4800</v>
      </c>
      <c r="H354" s="22" t="n"/>
      <c r="I354" s="23" t="n"/>
      <c r="J354" s="18" t="n"/>
      <c r="K354" s="24" t="n"/>
      <c r="L354" s="4" t="n">
        <v>0</v>
      </c>
      <c r="M354" s="4" t="inlineStr">
        <is>
          <t>sin muestra</t>
        </is>
      </c>
      <c r="N354" s="4" t="inlineStr">
        <is>
          <t>no valorable</t>
        </is>
      </c>
      <c r="O354" s="4" t="inlineStr">
        <is>
          <t>ventana inicial sin histórico</t>
        </is>
      </c>
    </row>
    <row r="355">
      <c r="A355" s="4" t="inlineStr">
        <is>
          <t>MD-0506</t>
        </is>
      </c>
      <c r="B355" s="21" t="n">
        <v>45960</v>
      </c>
      <c r="C355" s="4" t="inlineStr">
        <is>
          <t>Centro</t>
        </is>
      </c>
      <c r="D355" s="4" t="n">
        <v>130</v>
      </c>
      <c r="E355" s="4" t="inlineStr">
        <is>
          <t>reformado</t>
        </is>
      </c>
      <c r="F355" s="22" t="n">
        <v>1025000</v>
      </c>
      <c r="G355" s="23" t="n">
        <v>7884.62</v>
      </c>
      <c r="H355" s="22" t="n"/>
      <c r="I355" s="23" t="n"/>
      <c r="J355" s="18" t="n"/>
      <c r="K355" s="24" t="n"/>
      <c r="L355" s="4" t="n">
        <v>4</v>
      </c>
      <c r="M355" s="4" t="inlineStr">
        <is>
          <t>sin muestra</t>
        </is>
      </c>
      <c r="N355" s="4" t="inlineStr">
        <is>
          <t>no valorable</t>
        </is>
      </c>
      <c r="O355" s="4" t="inlineStr">
        <is>
          <t>ventana inicial sin histórico</t>
        </is>
      </c>
    </row>
    <row r="356">
      <c r="A356" s="4" t="inlineStr">
        <is>
          <t>MD-0967</t>
        </is>
      </c>
      <c r="B356" s="21" t="n">
        <v>45960</v>
      </c>
      <c r="C356" s="4" t="inlineStr">
        <is>
          <t>Tetuan</t>
        </is>
      </c>
      <c r="D356" s="4" t="n">
        <v>39</v>
      </c>
      <c r="E356" s="4" t="inlineStr">
        <is>
          <t>buen estado</t>
        </is>
      </c>
      <c r="F356" s="22" t="n">
        <v>181000</v>
      </c>
      <c r="G356" s="23" t="n">
        <v>4641.03</v>
      </c>
      <c r="H356" s="22" t="n"/>
      <c r="I356" s="23" t="n"/>
      <c r="J356" s="18" t="n"/>
      <c r="K356" s="24" t="n"/>
      <c r="L356" s="4" t="n">
        <v>4</v>
      </c>
      <c r="M356" s="4" t="inlineStr">
        <is>
          <t>sin muestra</t>
        </is>
      </c>
      <c r="N356" s="4" t="inlineStr">
        <is>
          <t>no valorable</t>
        </is>
      </c>
      <c r="O356" s="4" t="inlineStr">
        <is>
          <t>ventana inicial sin histórico</t>
        </is>
      </c>
    </row>
    <row r="357">
      <c r="A357" s="4" t="inlineStr">
        <is>
          <t>MD-0203</t>
        </is>
      </c>
      <c r="B357" s="21" t="n">
        <v>45961</v>
      </c>
      <c r="C357" s="4" t="inlineStr">
        <is>
          <t>Tetuan</t>
        </is>
      </c>
      <c r="D357" s="4" t="n">
        <v>104</v>
      </c>
      <c r="E357" s="4" t="inlineStr">
        <is>
          <t>reformado</t>
        </is>
      </c>
      <c r="F357" s="22" t="n">
        <v>723000</v>
      </c>
      <c r="G357" s="23" t="n">
        <v>6951.92</v>
      </c>
      <c r="H357" s="22" t="n"/>
      <c r="I357" s="23" t="n"/>
      <c r="J357" s="18" t="n"/>
      <c r="K357" s="24" t="n"/>
      <c r="L357" s="4" t="n">
        <v>1</v>
      </c>
      <c r="M357" s="4" t="inlineStr">
        <is>
          <t>sin muestra</t>
        </is>
      </c>
      <c r="N357" s="4" t="inlineStr">
        <is>
          <t>no valorable</t>
        </is>
      </c>
      <c r="O357" s="4" t="inlineStr">
        <is>
          <t>segmento con pocas operaciones comparables</t>
        </is>
      </c>
    </row>
    <row r="358">
      <c r="A358" s="4" t="inlineStr">
        <is>
          <t>MD-0263</t>
        </is>
      </c>
      <c r="B358" s="21" t="n">
        <v>45961</v>
      </c>
      <c r="C358" s="4" t="inlineStr">
        <is>
          <t>Tetuan</t>
        </is>
      </c>
      <c r="D358" s="4" t="n">
        <v>62</v>
      </c>
      <c r="E358" s="4" t="inlineStr">
        <is>
          <t>buen estado</t>
        </is>
      </c>
      <c r="F358" s="22" t="n">
        <v>309000</v>
      </c>
      <c r="G358" s="23" t="n">
        <v>4983.87</v>
      </c>
      <c r="H358" s="22" t="n">
        <v>301448</v>
      </c>
      <c r="I358" s="23" t="n">
        <v>4862.07</v>
      </c>
      <c r="J358" s="18" t="n">
        <v>0.0251</v>
      </c>
      <c r="K358" s="24" t="n">
        <v>43.7</v>
      </c>
      <c r="L358" s="4" t="n">
        <v>5</v>
      </c>
      <c r="M358" s="4" t="inlineStr">
        <is>
          <t>baja</t>
        </is>
      </c>
      <c r="N358" s="4" t="inlineStr">
        <is>
          <t>en linea con comparables</t>
        </is>
      </c>
      <c r="O358" s="4" t="n"/>
    </row>
    <row r="359">
      <c r="A359" s="4" t="inlineStr">
        <is>
          <t>MD-0882</t>
        </is>
      </c>
      <c r="B359" s="21" t="n">
        <v>45961</v>
      </c>
      <c r="C359" s="4" t="inlineStr">
        <is>
          <t>Chamberi</t>
        </is>
      </c>
      <c r="D359" s="4" t="n">
        <v>80</v>
      </c>
      <c r="E359" s="4" t="inlineStr">
        <is>
          <t>reformado</t>
        </is>
      </c>
      <c r="F359" s="22" t="n">
        <v>751000</v>
      </c>
      <c r="G359" s="23" t="n">
        <v>9387.5</v>
      </c>
      <c r="H359" s="22" t="n">
        <v>701443</v>
      </c>
      <c r="I359" s="23" t="n">
        <v>8768.030000000001</v>
      </c>
      <c r="J359" s="18" t="n">
        <v>0.0707</v>
      </c>
      <c r="K359" s="24" t="n">
        <v>32.3</v>
      </c>
      <c r="L359" s="4" t="n">
        <v>5</v>
      </c>
      <c r="M359" s="4" t="inlineStr">
        <is>
          <t>baja</t>
        </is>
      </c>
      <c r="N359" s="4" t="inlineStr">
        <is>
          <t>en linea con comparables</t>
        </is>
      </c>
      <c r="O359" s="4" t="n"/>
    </row>
    <row r="360">
      <c r="A360" s="4" t="inlineStr">
        <is>
          <t>MD-0676</t>
        </is>
      </c>
      <c r="B360" s="21" t="n">
        <v>45961</v>
      </c>
      <c r="C360" s="4" t="inlineStr">
        <is>
          <t>Hortaleza</t>
        </is>
      </c>
      <c r="D360" s="4" t="n">
        <v>60</v>
      </c>
      <c r="E360" s="4" t="inlineStr">
        <is>
          <t>buen estado</t>
        </is>
      </c>
      <c r="F360" s="22" t="n">
        <v>336000</v>
      </c>
      <c r="G360" s="23" t="n">
        <v>5600</v>
      </c>
      <c r="H360" s="22" t="n"/>
      <c r="I360" s="23" t="n"/>
      <c r="J360" s="18" t="n"/>
      <c r="K360" s="24" t="n"/>
      <c r="L360" s="4" t="n">
        <v>1</v>
      </c>
      <c r="M360" s="4" t="inlineStr">
        <is>
          <t>sin muestra</t>
        </is>
      </c>
      <c r="N360" s="4" t="inlineStr">
        <is>
          <t>no valorable</t>
        </is>
      </c>
      <c r="O360" s="4" t="inlineStr">
        <is>
          <t>segmento con pocas operaciones comparables</t>
        </is>
      </c>
    </row>
    <row r="361">
      <c r="A361" s="4" t="inlineStr">
        <is>
          <t>MD-0359</t>
        </is>
      </c>
      <c r="B361" s="21" t="n">
        <v>45962</v>
      </c>
      <c r="C361" s="4" t="inlineStr">
        <is>
          <t>Chamberi</t>
        </is>
      </c>
      <c r="D361" s="4" t="n">
        <v>102</v>
      </c>
      <c r="E361" s="4" t="inlineStr">
        <is>
          <t>buen estado</t>
        </is>
      </c>
      <c r="F361" s="22" t="n">
        <v>826000</v>
      </c>
      <c r="G361" s="23" t="n">
        <v>8098.04</v>
      </c>
      <c r="H361" s="22" t="n">
        <v>759956</v>
      </c>
      <c r="I361" s="23" t="n">
        <v>7450.55</v>
      </c>
      <c r="J361" s="18" t="n">
        <v>0.08690000000000001</v>
      </c>
      <c r="K361" s="24" t="n">
        <v>28.3</v>
      </c>
      <c r="L361" s="4" t="n">
        <v>5</v>
      </c>
      <c r="M361" s="4" t="inlineStr">
        <is>
          <t>baja</t>
        </is>
      </c>
      <c r="N361" s="4" t="inlineStr">
        <is>
          <t>en linea con comparables</t>
        </is>
      </c>
      <c r="O361" s="4" t="n"/>
    </row>
    <row r="362">
      <c r="A362" s="4" t="inlineStr">
        <is>
          <t>MD-1909</t>
        </is>
      </c>
      <c r="B362" s="21" t="n">
        <v>45962</v>
      </c>
      <c r="C362" s="4" t="inlineStr">
        <is>
          <t>Centro</t>
        </is>
      </c>
      <c r="D362" s="4" t="n">
        <v>91</v>
      </c>
      <c r="E362" s="4" t="inlineStr">
        <is>
          <t>reformado</t>
        </is>
      </c>
      <c r="F362" s="22" t="n">
        <v>830000</v>
      </c>
      <c r="G362" s="23" t="n">
        <v>9120.879999999999</v>
      </c>
      <c r="H362" s="22" t="n"/>
      <c r="I362" s="23" t="n"/>
      <c r="J362" s="18" t="n"/>
      <c r="K362" s="24" t="n"/>
      <c r="L362" s="4" t="n">
        <v>4</v>
      </c>
      <c r="M362" s="4" t="inlineStr">
        <is>
          <t>sin muestra</t>
        </is>
      </c>
      <c r="N362" s="4" t="inlineStr">
        <is>
          <t>no valorable</t>
        </is>
      </c>
      <c r="O362" s="4" t="inlineStr">
        <is>
          <t>segmento con pocas operaciones comparables</t>
        </is>
      </c>
    </row>
    <row r="363">
      <c r="A363" s="4" t="inlineStr">
        <is>
          <t>MD-1017</t>
        </is>
      </c>
      <c r="B363" s="21" t="n">
        <v>45962</v>
      </c>
      <c r="C363" s="4" t="inlineStr">
        <is>
          <t>Puente de Vallecas</t>
        </is>
      </c>
      <c r="D363" s="4" t="n">
        <v>44</v>
      </c>
      <c r="E363" s="4" t="inlineStr">
        <is>
          <t>buen estado</t>
        </is>
      </c>
      <c r="F363" s="22" t="n">
        <v>123000</v>
      </c>
      <c r="G363" s="23" t="n">
        <v>2795.45</v>
      </c>
      <c r="H363" s="22" t="n">
        <v>119391</v>
      </c>
      <c r="I363" s="23" t="n">
        <v>2713.43</v>
      </c>
      <c r="J363" s="18" t="n">
        <v>0.0302</v>
      </c>
      <c r="K363" s="24" t="n">
        <v>42.4</v>
      </c>
      <c r="L363" s="4" t="n">
        <v>9</v>
      </c>
      <c r="M363" s="4" t="inlineStr">
        <is>
          <t>media</t>
        </is>
      </c>
      <c r="N363" s="4" t="inlineStr">
        <is>
          <t>en linea con comparables</t>
        </is>
      </c>
      <c r="O363" s="4" t="n"/>
    </row>
    <row r="364">
      <c r="A364" s="4" t="inlineStr">
        <is>
          <t>MD-1875</t>
        </is>
      </c>
      <c r="B364" s="21" t="n">
        <v>45962</v>
      </c>
      <c r="C364" s="4" t="inlineStr">
        <is>
          <t>Tetuan</t>
        </is>
      </c>
      <c r="D364" s="4" t="n">
        <v>51</v>
      </c>
      <c r="E364" s="4" t="inlineStr">
        <is>
          <t>reformado</t>
        </is>
      </c>
      <c r="F364" s="22" t="n">
        <v>287000</v>
      </c>
      <c r="G364" s="23" t="n">
        <v>5627.45</v>
      </c>
      <c r="H364" s="22" t="n">
        <v>273178</v>
      </c>
      <c r="I364" s="23" t="n">
        <v>5356.43</v>
      </c>
      <c r="J364" s="18" t="n">
        <v>0.0506</v>
      </c>
      <c r="K364" s="24" t="n">
        <v>37.4</v>
      </c>
      <c r="L364" s="4" t="n">
        <v>6</v>
      </c>
      <c r="M364" s="4" t="inlineStr">
        <is>
          <t>baja</t>
        </is>
      </c>
      <c r="N364" s="4" t="inlineStr">
        <is>
          <t>en linea con comparables</t>
        </is>
      </c>
      <c r="O364" s="4" t="n"/>
    </row>
    <row r="365">
      <c r="A365" s="4" t="inlineStr">
        <is>
          <t>MD-1204</t>
        </is>
      </c>
      <c r="B365" s="21" t="n">
        <v>45962</v>
      </c>
      <c r="C365" s="4" t="inlineStr">
        <is>
          <t>Hortaleza</t>
        </is>
      </c>
      <c r="D365" s="4" t="n">
        <v>147</v>
      </c>
      <c r="E365" s="4" t="inlineStr">
        <is>
          <t>buen estado</t>
        </is>
      </c>
      <c r="F365" s="22" t="n">
        <v>833000</v>
      </c>
      <c r="G365" s="23" t="n">
        <v>5666.67</v>
      </c>
      <c r="H365" s="22" t="n"/>
      <c r="I365" s="23" t="n"/>
      <c r="J365" s="18" t="n"/>
      <c r="K365" s="24" t="n"/>
      <c r="L365" s="4" t="n">
        <v>4</v>
      </c>
      <c r="M365" s="4" t="inlineStr">
        <is>
          <t>sin muestra</t>
        </is>
      </c>
      <c r="N365" s="4" t="inlineStr">
        <is>
          <t>no valorable</t>
        </is>
      </c>
      <c r="O365" s="4" t="inlineStr">
        <is>
          <t>segmento con pocas operaciones comparables</t>
        </is>
      </c>
    </row>
    <row r="366">
      <c r="A366" s="4" t="inlineStr">
        <is>
          <t>MD-1649</t>
        </is>
      </c>
      <c r="B366" s="21" t="n">
        <v>45962</v>
      </c>
      <c r="C366" s="4" t="inlineStr">
        <is>
          <t>Salamanca</t>
        </is>
      </c>
      <c r="D366" s="4" t="n">
        <v>71</v>
      </c>
      <c r="E366" s="4" t="inlineStr">
        <is>
          <t>buen estado</t>
        </is>
      </c>
      <c r="F366" s="22" t="n">
        <v>620000</v>
      </c>
      <c r="G366" s="23" t="n">
        <v>8732.389999999999</v>
      </c>
      <c r="H366" s="22" t="n">
        <v>559797</v>
      </c>
      <c r="I366" s="23" t="n">
        <v>7884.46</v>
      </c>
      <c r="J366" s="18" t="n">
        <v>0.1075</v>
      </c>
      <c r="K366" s="24" t="n">
        <v>23.1</v>
      </c>
      <c r="L366" s="4" t="n">
        <v>5</v>
      </c>
      <c r="M366" s="4" t="inlineStr">
        <is>
          <t>baja</t>
        </is>
      </c>
      <c r="N366" s="4" t="inlineStr">
        <is>
          <t>por encima de comparables</t>
        </is>
      </c>
      <c r="O366" s="4" t="n"/>
    </row>
    <row r="367">
      <c r="A367" s="4" t="inlineStr">
        <is>
          <t>MD-1933</t>
        </is>
      </c>
      <c r="B367" s="21" t="n">
        <v>45963</v>
      </c>
      <c r="C367" s="4" t="inlineStr">
        <is>
          <t>Fuencarral-El Pardo</t>
        </is>
      </c>
      <c r="D367" s="4" t="n">
        <v>164</v>
      </c>
      <c r="E367" s="4" t="inlineStr">
        <is>
          <t>reformado</t>
        </is>
      </c>
      <c r="F367" s="22" t="n">
        <v>78000</v>
      </c>
      <c r="G367" s="23" t="n">
        <v>475.61</v>
      </c>
      <c r="H367" s="22" t="n">
        <v>933252</v>
      </c>
      <c r="I367" s="23" t="n">
        <v>5690.56</v>
      </c>
      <c r="J367" s="18" t="n">
        <v>-0.9164</v>
      </c>
      <c r="K367" s="24" t="n">
        <v>100</v>
      </c>
      <c r="L367" s="4" t="n">
        <v>6</v>
      </c>
      <c r="M367" s="4" t="inlineStr">
        <is>
          <t>baja</t>
        </is>
      </c>
      <c r="N367" s="4" t="inlineStr">
        <is>
          <t>por debajo de comparables</t>
        </is>
      </c>
      <c r="O367" s="4" t="n"/>
    </row>
    <row r="368">
      <c r="A368" s="4" t="inlineStr">
        <is>
          <t>MD-1234</t>
        </is>
      </c>
      <c r="B368" s="21" t="n">
        <v>45963</v>
      </c>
      <c r="C368" s="4" t="inlineStr">
        <is>
          <t>Hortaleza</t>
        </is>
      </c>
      <c r="D368" s="4" t="n">
        <v>73</v>
      </c>
      <c r="E368" s="4" t="inlineStr">
        <is>
          <t>buen estado</t>
        </is>
      </c>
      <c r="F368" s="22" t="n">
        <v>239000</v>
      </c>
      <c r="G368" s="23" t="n">
        <v>3273.97</v>
      </c>
      <c r="H368" s="22" t="n">
        <v>297213</v>
      </c>
      <c r="I368" s="23" t="n">
        <v>4071.41</v>
      </c>
      <c r="J368" s="18" t="n">
        <v>-0.1959</v>
      </c>
      <c r="K368" s="24" t="n">
        <v>99</v>
      </c>
      <c r="L368" s="4" t="n">
        <v>5</v>
      </c>
      <c r="M368" s="4" t="inlineStr">
        <is>
          <t>baja</t>
        </is>
      </c>
      <c r="N368" s="4" t="inlineStr">
        <is>
          <t>por debajo de comparables</t>
        </is>
      </c>
      <c r="O368" s="4" t="n"/>
    </row>
    <row r="369">
      <c r="A369" s="4" t="inlineStr">
        <is>
          <t>MD-0319</t>
        </is>
      </c>
      <c r="B369" s="21" t="n">
        <v>45963</v>
      </c>
      <c r="C369" s="4" t="inlineStr">
        <is>
          <t>Ciudad Lineal</t>
        </is>
      </c>
      <c r="D369" s="4" t="n">
        <v>51</v>
      </c>
      <c r="E369" s="4" t="inlineStr">
        <is>
          <t>reformado</t>
        </is>
      </c>
      <c r="F369" s="22" t="n">
        <v>239000</v>
      </c>
      <c r="G369" s="23" t="n">
        <v>4686.27</v>
      </c>
      <c r="H369" s="22" t="n"/>
      <c r="I369" s="23" t="n"/>
      <c r="J369" s="18" t="n"/>
      <c r="K369" s="24" t="n"/>
      <c r="L369" s="4" t="n">
        <v>4</v>
      </c>
      <c r="M369" s="4" t="inlineStr">
        <is>
          <t>sin muestra</t>
        </is>
      </c>
      <c r="N369" s="4" t="inlineStr">
        <is>
          <t>no valorable</t>
        </is>
      </c>
      <c r="O369" s="4" t="inlineStr">
        <is>
          <t>segmento con pocas operaciones comparables</t>
        </is>
      </c>
    </row>
    <row r="370">
      <c r="A370" s="4" t="inlineStr">
        <is>
          <t>MD-0824</t>
        </is>
      </c>
      <c r="B370" s="21" t="n">
        <v>45963</v>
      </c>
      <c r="C370" s="4" t="inlineStr">
        <is>
          <t>Vicalvaro</t>
        </is>
      </c>
      <c r="D370" s="4" t="n">
        <v>183</v>
      </c>
      <c r="E370" s="4" t="inlineStr">
        <is>
          <t>a reformar</t>
        </is>
      </c>
      <c r="F370" s="22" t="n">
        <v>577000</v>
      </c>
      <c r="G370" s="23" t="n">
        <v>3153.01</v>
      </c>
      <c r="H370" s="22" t="n">
        <v>532958</v>
      </c>
      <c r="I370" s="23" t="n">
        <v>2912.34</v>
      </c>
      <c r="J370" s="18" t="n">
        <v>0.08260000000000001</v>
      </c>
      <c r="K370" s="24" t="n">
        <v>29.3</v>
      </c>
      <c r="L370" s="4" t="n">
        <v>6</v>
      </c>
      <c r="M370" s="4" t="inlineStr">
        <is>
          <t>baja</t>
        </is>
      </c>
      <c r="N370" s="4" t="inlineStr">
        <is>
          <t>en linea con comparables</t>
        </is>
      </c>
      <c r="O370" s="4" t="n"/>
    </row>
    <row r="371">
      <c r="A371" s="4" t="inlineStr">
        <is>
          <t>MD-1261</t>
        </is>
      </c>
      <c r="B371" s="21" t="n">
        <v>45963</v>
      </c>
      <c r="C371" s="4" t="inlineStr">
        <is>
          <t>Chamberi</t>
        </is>
      </c>
      <c r="D371" s="4" t="n">
        <v>92</v>
      </c>
      <c r="E371" s="4" t="inlineStr">
        <is>
          <t>buen estado</t>
        </is>
      </c>
      <c r="F371" s="22" t="n">
        <v>706000</v>
      </c>
      <c r="G371" s="23" t="n">
        <v>7673.91</v>
      </c>
      <c r="H371" s="22" t="n">
        <v>714489</v>
      </c>
      <c r="I371" s="23" t="n">
        <v>7766.19</v>
      </c>
      <c r="J371" s="18" t="n">
        <v>-0.0119</v>
      </c>
      <c r="K371" s="24" t="n">
        <v>53</v>
      </c>
      <c r="L371" s="4" t="n">
        <v>7</v>
      </c>
      <c r="M371" s="4" t="inlineStr">
        <is>
          <t>baja</t>
        </is>
      </c>
      <c r="N371" s="4" t="inlineStr">
        <is>
          <t>en linea con comparables</t>
        </is>
      </c>
      <c r="O371" s="4" t="n"/>
    </row>
    <row r="372">
      <c r="A372" s="4" t="inlineStr">
        <is>
          <t>MD-1284</t>
        </is>
      </c>
      <c r="B372" s="21" t="n">
        <v>45964</v>
      </c>
      <c r="C372" s="4" t="inlineStr">
        <is>
          <t>Villa de Vallecas</t>
        </is>
      </c>
      <c r="D372" s="4" t="n">
        <v>53</v>
      </c>
      <c r="E372" s="4" t="inlineStr">
        <is>
          <t>buen estado</t>
        </is>
      </c>
      <c r="F372" s="22" t="n">
        <v>180000</v>
      </c>
      <c r="G372" s="23" t="n">
        <v>3396.23</v>
      </c>
      <c r="H372" s="22" t="n"/>
      <c r="I372" s="23" t="n"/>
      <c r="J372" s="18" t="n"/>
      <c r="K372" s="24" t="n"/>
      <c r="L372" s="4" t="n">
        <v>3</v>
      </c>
      <c r="M372" s="4" t="inlineStr">
        <is>
          <t>sin muestra</t>
        </is>
      </c>
      <c r="N372" s="4" t="inlineStr">
        <is>
          <t>no valorable</t>
        </is>
      </c>
      <c r="O372" s="4" t="inlineStr">
        <is>
          <t>segmento con pocas operaciones comparables</t>
        </is>
      </c>
    </row>
    <row r="373">
      <c r="A373" s="4" t="inlineStr">
        <is>
          <t>MD-0652</t>
        </is>
      </c>
      <c r="B373" s="21" t="n">
        <v>45964</v>
      </c>
      <c r="C373" s="4" t="inlineStr">
        <is>
          <t>Fuencarral-El Pardo</t>
        </is>
      </c>
      <c r="D373" s="4" t="n">
        <v>48</v>
      </c>
      <c r="E373" s="4" t="inlineStr">
        <is>
          <t>a reformar</t>
        </is>
      </c>
      <c r="F373" s="22" t="n">
        <v>206000</v>
      </c>
      <c r="G373" s="23" t="n">
        <v>4291.67</v>
      </c>
      <c r="H373" s="22" t="n">
        <v>203819</v>
      </c>
      <c r="I373" s="23" t="n">
        <v>4246.22</v>
      </c>
      <c r="J373" s="18" t="n">
        <v>0.0107</v>
      </c>
      <c r="K373" s="24" t="n">
        <v>47.3</v>
      </c>
      <c r="L373" s="4" t="n">
        <v>6</v>
      </c>
      <c r="M373" s="4" t="inlineStr">
        <is>
          <t>baja</t>
        </is>
      </c>
      <c r="N373" s="4" t="inlineStr">
        <is>
          <t>en linea con comparables</t>
        </is>
      </c>
      <c r="O373" s="4" t="n"/>
    </row>
    <row r="374">
      <c r="A374" s="4" t="inlineStr">
        <is>
          <t>MD-0835</t>
        </is>
      </c>
      <c r="B374" s="21" t="n">
        <v>45964</v>
      </c>
      <c r="C374" s="4" t="inlineStr">
        <is>
          <t>Puente de Vallecas</t>
        </is>
      </c>
      <c r="D374" s="4" t="n">
        <v>60</v>
      </c>
      <c r="E374" s="4" t="inlineStr">
        <is>
          <t>buen estado</t>
        </is>
      </c>
      <c r="F374" s="22" t="n">
        <v>170000</v>
      </c>
      <c r="G374" s="23" t="n">
        <v>2833.33</v>
      </c>
      <c r="H374" s="22" t="n">
        <v>169879</v>
      </c>
      <c r="I374" s="23" t="n">
        <v>2831.31</v>
      </c>
      <c r="J374" s="18" t="n">
        <v>0.0007</v>
      </c>
      <c r="K374" s="24" t="n">
        <v>49.8</v>
      </c>
      <c r="L374" s="4" t="n">
        <v>19</v>
      </c>
      <c r="M374" s="4" t="inlineStr">
        <is>
          <t>alta</t>
        </is>
      </c>
      <c r="N374" s="4" t="inlineStr">
        <is>
          <t>en linea con comparables</t>
        </is>
      </c>
      <c r="O374" s="4" t="n"/>
    </row>
    <row r="375">
      <c r="A375" s="4" t="inlineStr">
        <is>
          <t>MD-1472</t>
        </is>
      </c>
      <c r="B375" s="21" t="n">
        <v>45964</v>
      </c>
      <c r="C375" s="4" t="inlineStr">
        <is>
          <t>Centro</t>
        </is>
      </c>
      <c r="D375" s="4" t="n">
        <v>29</v>
      </c>
      <c r="E375" s="4" t="inlineStr">
        <is>
          <t>buen estado</t>
        </is>
      </c>
      <c r="F375" s="22" t="n">
        <v>250000</v>
      </c>
      <c r="G375" s="23" t="n">
        <v>8620.690000000001</v>
      </c>
      <c r="H375" s="22" t="n"/>
      <c r="I375" s="23" t="n"/>
      <c r="J375" s="18" t="n"/>
      <c r="K375" s="24" t="n"/>
      <c r="L375" s="4" t="n">
        <v>3</v>
      </c>
      <c r="M375" s="4" t="inlineStr">
        <is>
          <t>sin muestra</t>
        </is>
      </c>
      <c r="N375" s="4" t="inlineStr">
        <is>
          <t>no valorable</t>
        </is>
      </c>
      <c r="O375" s="4" t="inlineStr">
        <is>
          <t>segmento con pocas operaciones comparables</t>
        </is>
      </c>
    </row>
    <row r="376">
      <c r="A376" s="4" t="inlineStr">
        <is>
          <t>MD-1736</t>
        </is>
      </c>
      <c r="B376" s="21" t="n">
        <v>45964</v>
      </c>
      <c r="C376" s="4" t="inlineStr">
        <is>
          <t>Latina</t>
        </is>
      </c>
      <c r="D376" s="4" t="n">
        <v>76</v>
      </c>
      <c r="E376" s="4" t="inlineStr">
        <is>
          <t>buen estado</t>
        </is>
      </c>
      <c r="F376" s="22" t="n">
        <v>289000</v>
      </c>
      <c r="G376" s="23" t="n">
        <v>3802.63</v>
      </c>
      <c r="H376" s="22" t="n">
        <v>191642</v>
      </c>
      <c r="I376" s="23" t="n">
        <v>2521.6</v>
      </c>
      <c r="J376" s="18" t="n">
        <v>0.508</v>
      </c>
      <c r="K376" s="24" t="n">
        <v>0</v>
      </c>
      <c r="L376" s="4" t="n">
        <v>19</v>
      </c>
      <c r="M376" s="4" t="inlineStr">
        <is>
          <t>alta</t>
        </is>
      </c>
      <c r="N376" s="4" t="inlineStr">
        <is>
          <t>por encima de comparables</t>
        </is>
      </c>
      <c r="O376" s="4" t="n"/>
    </row>
    <row r="377">
      <c r="A377" s="4" t="inlineStr">
        <is>
          <t>MD-1475</t>
        </is>
      </c>
      <c r="B377" s="21" t="n">
        <v>45964</v>
      </c>
      <c r="C377" s="4" t="inlineStr">
        <is>
          <t>Ciudad Lineal</t>
        </is>
      </c>
      <c r="D377" s="4" t="n">
        <v>74</v>
      </c>
      <c r="E377" s="4" t="inlineStr">
        <is>
          <t>obra nueva</t>
        </is>
      </c>
      <c r="F377" s="22" t="n">
        <v>414000</v>
      </c>
      <c r="G377" s="23" t="n">
        <v>5594.59</v>
      </c>
      <c r="H377" s="22" t="n">
        <v>460661</v>
      </c>
      <c r="I377" s="23" t="n">
        <v>6225.15</v>
      </c>
      <c r="J377" s="18" t="n">
        <v>-0.1013</v>
      </c>
      <c r="K377" s="24" t="n">
        <v>75.3</v>
      </c>
      <c r="L377" s="4" t="n">
        <v>5</v>
      </c>
      <c r="M377" s="4" t="inlineStr">
        <is>
          <t>baja</t>
        </is>
      </c>
      <c r="N377" s="4" t="inlineStr">
        <is>
          <t>por debajo de comparables</t>
        </is>
      </c>
      <c r="O377" s="4" t="n"/>
    </row>
    <row r="378">
      <c r="A378" s="4" t="inlineStr">
        <is>
          <t>MD-1803</t>
        </is>
      </c>
      <c r="B378" s="21" t="n">
        <v>45964</v>
      </c>
      <c r="C378" s="4" t="inlineStr">
        <is>
          <t>Retiro</t>
        </is>
      </c>
      <c r="D378" s="4" t="n">
        <v>124</v>
      </c>
      <c r="E378" s="4" t="inlineStr">
        <is>
          <t>a reformar</t>
        </is>
      </c>
      <c r="F378" s="22" t="n">
        <v>615000</v>
      </c>
      <c r="G378" s="23" t="n">
        <v>4959.68</v>
      </c>
      <c r="H378" s="22" t="n">
        <v>850754</v>
      </c>
      <c r="I378" s="23" t="n">
        <v>6860.92</v>
      </c>
      <c r="J378" s="18" t="n">
        <v>-0.2771</v>
      </c>
      <c r="K378" s="24" t="n">
        <v>100</v>
      </c>
      <c r="L378" s="4" t="n">
        <v>5</v>
      </c>
      <c r="M378" s="4" t="inlineStr">
        <is>
          <t>baja</t>
        </is>
      </c>
      <c r="N378" s="4" t="inlineStr">
        <is>
          <t>por debajo de comparables</t>
        </is>
      </c>
      <c r="O378" s="4" t="n"/>
    </row>
    <row r="379">
      <c r="A379" s="4" t="inlineStr">
        <is>
          <t>MD-1758</t>
        </is>
      </c>
      <c r="B379" s="21" t="n">
        <v>45964</v>
      </c>
      <c r="C379" s="4" t="inlineStr">
        <is>
          <t>Centro</t>
        </is>
      </c>
      <c r="D379" s="4" t="n">
        <v>29</v>
      </c>
      <c r="E379" s="4" t="inlineStr">
        <is>
          <t>buen estado</t>
        </is>
      </c>
      <c r="F379" s="22" t="n">
        <v>241000</v>
      </c>
      <c r="G379" s="23" t="n">
        <v>8310.34</v>
      </c>
      <c r="H379" s="22" t="n"/>
      <c r="I379" s="23" t="n"/>
      <c r="J379" s="18" t="n"/>
      <c r="K379" s="24" t="n"/>
      <c r="L379" s="4" t="n">
        <v>3</v>
      </c>
      <c r="M379" s="4" t="inlineStr">
        <is>
          <t>sin muestra</t>
        </is>
      </c>
      <c r="N379" s="4" t="inlineStr">
        <is>
          <t>no valorable</t>
        </is>
      </c>
      <c r="O379" s="4" t="inlineStr">
        <is>
          <t>segmento con pocas operaciones comparables</t>
        </is>
      </c>
    </row>
    <row r="380">
      <c r="A380" s="4" t="inlineStr">
        <is>
          <t>MD-1591</t>
        </is>
      </c>
      <c r="B380" s="21" t="n">
        <v>45964</v>
      </c>
      <c r="C380" s="4" t="inlineStr">
        <is>
          <t>Arganzuela</t>
        </is>
      </c>
      <c r="D380" s="4" t="n">
        <v>74</v>
      </c>
      <c r="E380" s="4" t="inlineStr">
        <is>
          <t>buen estado</t>
        </is>
      </c>
      <c r="F380" s="22" t="n">
        <v>552000</v>
      </c>
      <c r="G380" s="23" t="n">
        <v>7459.46</v>
      </c>
      <c r="H380" s="22" t="n"/>
      <c r="I380" s="23" t="n"/>
      <c r="J380" s="18" t="n"/>
      <c r="K380" s="24" t="n"/>
      <c r="L380" s="4" t="n">
        <v>3</v>
      </c>
      <c r="M380" s="4" t="inlineStr">
        <is>
          <t>sin muestra</t>
        </is>
      </c>
      <c r="N380" s="4" t="inlineStr">
        <is>
          <t>no valorable</t>
        </is>
      </c>
      <c r="O380" s="4" t="inlineStr">
        <is>
          <t>segmento con pocas operaciones comparables</t>
        </is>
      </c>
    </row>
    <row r="381">
      <c r="A381" s="4" t="inlineStr">
        <is>
          <t>MD-0047</t>
        </is>
      </c>
      <c r="B381" s="21" t="n">
        <v>45965</v>
      </c>
      <c r="C381" s="4" t="inlineStr">
        <is>
          <t>Tetuan</t>
        </is>
      </c>
      <c r="D381" s="4" t="n">
        <v>100</v>
      </c>
      <c r="E381" s="4" t="inlineStr">
        <is>
          <t>reformado</t>
        </is>
      </c>
      <c r="F381" s="22" t="n">
        <v>517000</v>
      </c>
      <c r="G381" s="23" t="n">
        <v>5170</v>
      </c>
      <c r="H381" s="22" t="n"/>
      <c r="I381" s="23" t="n"/>
      <c r="J381" s="18" t="n"/>
      <c r="K381" s="24" t="n"/>
      <c r="L381" s="4" t="n">
        <v>3</v>
      </c>
      <c r="M381" s="4" t="inlineStr">
        <is>
          <t>sin muestra</t>
        </is>
      </c>
      <c r="N381" s="4" t="inlineStr">
        <is>
          <t>no valorable</t>
        </is>
      </c>
      <c r="O381" s="4" t="inlineStr">
        <is>
          <t>segmento con pocas operaciones comparables</t>
        </is>
      </c>
    </row>
    <row r="382">
      <c r="A382" s="4" t="inlineStr">
        <is>
          <t>MD-1459</t>
        </is>
      </c>
      <c r="B382" s="21" t="n">
        <v>45965</v>
      </c>
      <c r="C382" s="4" t="inlineStr">
        <is>
          <t>Retiro</t>
        </is>
      </c>
      <c r="D382" s="4" t="n">
        <v>80</v>
      </c>
      <c r="E382" s="4" t="inlineStr">
        <is>
          <t>buen estado</t>
        </is>
      </c>
      <c r="F382" s="22" t="n">
        <v>560000</v>
      </c>
      <c r="G382" s="23" t="n">
        <v>7000</v>
      </c>
      <c r="H382" s="22" t="n">
        <v>600696</v>
      </c>
      <c r="I382" s="23" t="n">
        <v>7508.7</v>
      </c>
      <c r="J382" s="18" t="n">
        <v>-0.0677</v>
      </c>
      <c r="K382" s="24" t="n">
        <v>66.90000000000001</v>
      </c>
      <c r="L382" s="4" t="n">
        <v>10</v>
      </c>
      <c r="M382" s="4" t="inlineStr">
        <is>
          <t>media</t>
        </is>
      </c>
      <c r="N382" s="4" t="inlineStr">
        <is>
          <t>en linea con comparables</t>
        </is>
      </c>
      <c r="O382" s="4" t="n"/>
    </row>
    <row r="383">
      <c r="A383" s="4" t="inlineStr">
        <is>
          <t>MD-1045</t>
        </is>
      </c>
      <c r="B383" s="21" t="n">
        <v>45965</v>
      </c>
      <c r="C383" s="4" t="inlineStr">
        <is>
          <t>Puente de Vallecas</t>
        </is>
      </c>
      <c r="D383" s="4" t="n">
        <v>106</v>
      </c>
      <c r="E383" s="4" t="inlineStr">
        <is>
          <t>buen estado</t>
        </is>
      </c>
      <c r="F383" s="22" t="n">
        <v>247000</v>
      </c>
      <c r="G383" s="23" t="n">
        <v>2330.19</v>
      </c>
      <c r="H383" s="22" t="n"/>
      <c r="I383" s="23" t="n"/>
      <c r="J383" s="18" t="n"/>
      <c r="K383" s="24" t="n"/>
      <c r="L383" s="4" t="n">
        <v>3</v>
      </c>
      <c r="M383" s="4" t="inlineStr">
        <is>
          <t>sin muestra</t>
        </is>
      </c>
      <c r="N383" s="4" t="inlineStr">
        <is>
          <t>no valorable</t>
        </is>
      </c>
      <c r="O383" s="4" t="inlineStr">
        <is>
          <t>segmento con pocas operaciones comparables</t>
        </is>
      </c>
    </row>
    <row r="384">
      <c r="A384" s="4" t="inlineStr">
        <is>
          <t>MD-1010</t>
        </is>
      </c>
      <c r="B384" s="21" t="n">
        <v>45965</v>
      </c>
      <c r="C384" s="4" t="inlineStr">
        <is>
          <t>Arganzuela</t>
        </is>
      </c>
      <c r="D384" s="4" t="n">
        <v>129</v>
      </c>
      <c r="E384" s="4" t="inlineStr">
        <is>
          <t>buen estado</t>
        </is>
      </c>
      <c r="F384" s="22" t="n">
        <v>668000</v>
      </c>
      <c r="G384" s="23" t="n">
        <v>5178.29</v>
      </c>
      <c r="H384" s="22" t="n"/>
      <c r="I384" s="23" t="n"/>
      <c r="J384" s="18" t="n"/>
      <c r="K384" s="24" t="n"/>
      <c r="L384" s="4" t="n">
        <v>4</v>
      </c>
      <c r="M384" s="4" t="inlineStr">
        <is>
          <t>sin muestra</t>
        </is>
      </c>
      <c r="N384" s="4" t="inlineStr">
        <is>
          <t>no valorable</t>
        </is>
      </c>
      <c r="O384" s="4" t="inlineStr">
        <is>
          <t>segmento con pocas operaciones comparables</t>
        </is>
      </c>
    </row>
    <row r="385">
      <c r="A385" s="4" t="inlineStr">
        <is>
          <t>MD-1348</t>
        </is>
      </c>
      <c r="B385" s="21" t="n">
        <v>45965</v>
      </c>
      <c r="C385" s="4" t="inlineStr">
        <is>
          <t>Centro</t>
        </is>
      </c>
      <c r="D385" s="4" t="n">
        <v>116</v>
      </c>
      <c r="E385" s="4" t="inlineStr">
        <is>
          <t>buen estado</t>
        </is>
      </c>
      <c r="F385" s="22" t="n">
        <v>997000</v>
      </c>
      <c r="G385" s="23" t="n">
        <v>8594.83</v>
      </c>
      <c r="H385" s="22" t="n"/>
      <c r="I385" s="23" t="n"/>
      <c r="J385" s="18" t="n"/>
      <c r="K385" s="24" t="n"/>
      <c r="L385" s="4" t="n">
        <v>3</v>
      </c>
      <c r="M385" s="4" t="inlineStr">
        <is>
          <t>sin muestra</t>
        </is>
      </c>
      <c r="N385" s="4" t="inlineStr">
        <is>
          <t>no valorable</t>
        </is>
      </c>
      <c r="O385" s="4" t="inlineStr">
        <is>
          <t>segmento con pocas operaciones comparables</t>
        </is>
      </c>
    </row>
    <row r="386">
      <c r="A386" s="4" t="inlineStr">
        <is>
          <t>MD-0940</t>
        </is>
      </c>
      <c r="B386" s="21" t="n">
        <v>45965</v>
      </c>
      <c r="C386" s="4" t="inlineStr">
        <is>
          <t>Retiro</t>
        </is>
      </c>
      <c r="D386" s="4" t="n">
        <v>58</v>
      </c>
      <c r="E386" s="4" t="inlineStr">
        <is>
          <t>buen estado</t>
        </is>
      </c>
      <c r="F386" s="22" t="n">
        <v>347000</v>
      </c>
      <c r="G386" s="23" t="n">
        <v>5982.76</v>
      </c>
      <c r="H386" s="22" t="n"/>
      <c r="I386" s="23" t="n"/>
      <c r="J386" s="18" t="n"/>
      <c r="K386" s="24" t="n"/>
      <c r="L386" s="4" t="n">
        <v>4</v>
      </c>
      <c r="M386" s="4" t="inlineStr">
        <is>
          <t>sin muestra</t>
        </is>
      </c>
      <c r="N386" s="4" t="inlineStr">
        <is>
          <t>no valorable</t>
        </is>
      </c>
      <c r="O386" s="4" t="inlineStr">
        <is>
          <t>segmento con pocas operaciones comparables</t>
        </is>
      </c>
    </row>
    <row r="387">
      <c r="A387" s="4" t="inlineStr">
        <is>
          <t>MD-1623</t>
        </is>
      </c>
      <c r="B387" s="21" t="n">
        <v>45965</v>
      </c>
      <c r="C387" s="4" t="inlineStr">
        <is>
          <t>Puente de Vallecas</t>
        </is>
      </c>
      <c r="D387" s="4" t="n">
        <v>55</v>
      </c>
      <c r="E387" s="4" t="inlineStr">
        <is>
          <t>a reformar</t>
        </is>
      </c>
      <c r="F387" s="22" t="n">
        <v>101000</v>
      </c>
      <c r="G387" s="23" t="n">
        <v>1836.36</v>
      </c>
      <c r="H387" s="22" t="n">
        <v>102543</v>
      </c>
      <c r="I387" s="23" t="n">
        <v>1864.41</v>
      </c>
      <c r="J387" s="18" t="n">
        <v>-0.015</v>
      </c>
      <c r="K387" s="24" t="n">
        <v>53.8</v>
      </c>
      <c r="L387" s="4" t="n">
        <v>17</v>
      </c>
      <c r="M387" s="4" t="inlineStr">
        <is>
          <t>alta</t>
        </is>
      </c>
      <c r="N387" s="4" t="inlineStr">
        <is>
          <t>en linea con comparables</t>
        </is>
      </c>
      <c r="O387" s="4" t="n"/>
    </row>
    <row r="388">
      <c r="A388" s="4" t="inlineStr">
        <is>
          <t>MD-1922</t>
        </is>
      </c>
      <c r="B388" s="21" t="n">
        <v>45965</v>
      </c>
      <c r="C388" s="4" t="inlineStr">
        <is>
          <t>Hortaleza</t>
        </is>
      </c>
      <c r="D388" s="4" t="n">
        <v>63</v>
      </c>
      <c r="E388" s="4" t="inlineStr">
        <is>
          <t>obra nueva</t>
        </is>
      </c>
      <c r="F388" s="22" t="n">
        <v>331000</v>
      </c>
      <c r="G388" s="23" t="n">
        <v>5253.97</v>
      </c>
      <c r="H388" s="22" t="n"/>
      <c r="I388" s="23" t="n"/>
      <c r="J388" s="18" t="n"/>
      <c r="K388" s="24" t="n"/>
      <c r="L388" s="4" t="n">
        <v>4</v>
      </c>
      <c r="M388" s="4" t="inlineStr">
        <is>
          <t>sin muestra</t>
        </is>
      </c>
      <c r="N388" s="4" t="inlineStr">
        <is>
          <t>no valorable</t>
        </is>
      </c>
      <c r="O388" s="4" t="inlineStr">
        <is>
          <t>segmento con pocas operaciones comparables</t>
        </is>
      </c>
    </row>
    <row r="389">
      <c r="A389" s="4" t="inlineStr">
        <is>
          <t>MD-1428</t>
        </is>
      </c>
      <c r="B389" s="21" t="n">
        <v>45965</v>
      </c>
      <c r="C389" s="4" t="inlineStr">
        <is>
          <t>Arganzuela</t>
        </is>
      </c>
      <c r="D389" s="4" t="n">
        <v>61</v>
      </c>
      <c r="E389" s="4" t="inlineStr">
        <is>
          <t>buen estado</t>
        </is>
      </c>
      <c r="F389" s="22" t="n">
        <v>409000</v>
      </c>
      <c r="G389" s="23" t="n">
        <v>6704.92</v>
      </c>
      <c r="H389" s="22" t="n"/>
      <c r="I389" s="23" t="n"/>
      <c r="J389" s="18" t="n"/>
      <c r="K389" s="24" t="n"/>
      <c r="L389" s="4" t="n">
        <v>3</v>
      </c>
      <c r="M389" s="4" t="inlineStr">
        <is>
          <t>sin muestra</t>
        </is>
      </c>
      <c r="N389" s="4" t="inlineStr">
        <is>
          <t>no valorable</t>
        </is>
      </c>
      <c r="O389" s="4" t="inlineStr">
        <is>
          <t>segmento con pocas operaciones comparables</t>
        </is>
      </c>
    </row>
    <row r="390">
      <c r="A390" s="4" t="inlineStr">
        <is>
          <t>MD-0972</t>
        </is>
      </c>
      <c r="B390" s="21" t="n">
        <v>45965</v>
      </c>
      <c r="C390" s="4" t="inlineStr">
        <is>
          <t>San Blas-Canillejas</t>
        </is>
      </c>
      <c r="D390" s="4" t="n">
        <v>139</v>
      </c>
      <c r="E390" s="4" t="inlineStr">
        <is>
          <t>a reformar</t>
        </is>
      </c>
      <c r="F390" s="22" t="n">
        <v>390000</v>
      </c>
      <c r="G390" s="23" t="n">
        <v>2805.76</v>
      </c>
      <c r="H390" s="22" t="n"/>
      <c r="I390" s="23" t="n"/>
      <c r="J390" s="18" t="n"/>
      <c r="K390" s="24" t="n"/>
      <c r="L390" s="4" t="n">
        <v>1</v>
      </c>
      <c r="M390" s="4" t="inlineStr">
        <is>
          <t>sin muestra</t>
        </is>
      </c>
      <c r="N390" s="4" t="inlineStr">
        <is>
          <t>no valorable</t>
        </is>
      </c>
      <c r="O390" s="4" t="inlineStr">
        <is>
          <t>segmento con pocas operaciones comparables</t>
        </is>
      </c>
    </row>
    <row r="391">
      <c r="A391" s="4" t="inlineStr">
        <is>
          <t>MD-1637</t>
        </is>
      </c>
      <c r="B391" s="21" t="n">
        <v>45966</v>
      </c>
      <c r="C391" s="4" t="inlineStr">
        <is>
          <t>Puente de Vallecas</t>
        </is>
      </c>
      <c r="D391" s="4" t="n">
        <v>95</v>
      </c>
      <c r="E391" s="4" t="inlineStr">
        <is>
          <t>a reformar</t>
        </is>
      </c>
      <c r="F391" s="22" t="n">
        <v>169000</v>
      </c>
      <c r="G391" s="23" t="n">
        <v>1778.95</v>
      </c>
      <c r="H391" s="22" t="n">
        <v>218878</v>
      </c>
      <c r="I391" s="23" t="n">
        <v>2303.97</v>
      </c>
      <c r="J391" s="18" t="n">
        <v>-0.2279</v>
      </c>
      <c r="K391" s="24" t="n">
        <v>100</v>
      </c>
      <c r="L391" s="4" t="n">
        <v>11</v>
      </c>
      <c r="M391" s="4" t="inlineStr">
        <is>
          <t>media</t>
        </is>
      </c>
      <c r="N391" s="4" t="inlineStr">
        <is>
          <t>por debajo de comparables</t>
        </is>
      </c>
      <c r="O391" s="4" t="n"/>
    </row>
    <row r="392">
      <c r="A392" s="4" t="inlineStr">
        <is>
          <t>MD-0207</t>
        </is>
      </c>
      <c r="B392" s="21" t="n">
        <v>45966</v>
      </c>
      <c r="C392" s="4" t="inlineStr">
        <is>
          <t>Chamartin</t>
        </is>
      </c>
      <c r="D392" s="4" t="n">
        <v>77</v>
      </c>
      <c r="E392" s="4" t="inlineStr">
        <is>
          <t>a reformar</t>
        </is>
      </c>
      <c r="F392" s="22" t="n">
        <v>620000</v>
      </c>
      <c r="G392" s="23" t="n">
        <v>8051.95</v>
      </c>
      <c r="H392" s="22" t="n">
        <v>507691</v>
      </c>
      <c r="I392" s="23" t="n">
        <v>6593.39</v>
      </c>
      <c r="J392" s="18" t="n">
        <v>0.2212</v>
      </c>
      <c r="K392" s="24" t="n">
        <v>0</v>
      </c>
      <c r="L392" s="4" t="n">
        <v>6</v>
      </c>
      <c r="M392" s="4" t="inlineStr">
        <is>
          <t>baja</t>
        </is>
      </c>
      <c r="N392" s="4" t="inlineStr">
        <is>
          <t>por encima de comparables</t>
        </is>
      </c>
      <c r="O392" s="4" t="n"/>
    </row>
    <row r="393">
      <c r="A393" s="4" t="inlineStr">
        <is>
          <t>MD-0709</t>
        </is>
      </c>
      <c r="B393" s="21" t="n">
        <v>45966</v>
      </c>
      <c r="C393" s="4" t="inlineStr">
        <is>
          <t>Chamartin</t>
        </is>
      </c>
      <c r="D393" s="4" t="n">
        <v>61</v>
      </c>
      <c r="E393" s="4" t="inlineStr">
        <is>
          <t>buen estado</t>
        </is>
      </c>
      <c r="F393" s="22" t="n">
        <v>429000</v>
      </c>
      <c r="G393" s="23" t="n">
        <v>7032.79</v>
      </c>
      <c r="H393" s="22" t="n">
        <v>496561</v>
      </c>
      <c r="I393" s="23" t="n">
        <v>8140.35</v>
      </c>
      <c r="J393" s="18" t="n">
        <v>-0.1361</v>
      </c>
      <c r="K393" s="24" t="n">
        <v>84</v>
      </c>
      <c r="L393" s="4" t="n">
        <v>7</v>
      </c>
      <c r="M393" s="4" t="inlineStr">
        <is>
          <t>baja</t>
        </is>
      </c>
      <c r="N393" s="4" t="inlineStr">
        <is>
          <t>por debajo de comparables</t>
        </is>
      </c>
      <c r="O393" s="4" t="n"/>
    </row>
    <row r="394">
      <c r="A394" s="4" t="inlineStr">
        <is>
          <t>MD-0611</t>
        </is>
      </c>
      <c r="B394" s="21" t="n">
        <v>45966</v>
      </c>
      <c r="C394" s="4" t="inlineStr">
        <is>
          <t>Chamartin</t>
        </is>
      </c>
      <c r="D394" s="4" t="n">
        <v>34</v>
      </c>
      <c r="E394" s="4" t="inlineStr">
        <is>
          <t>buen estado</t>
        </is>
      </c>
      <c r="F394" s="22" t="n">
        <v>253000</v>
      </c>
      <c r="G394" s="23" t="n">
        <v>7441.18</v>
      </c>
      <c r="H394" s="22" t="n"/>
      <c r="I394" s="23" t="n"/>
      <c r="J394" s="18" t="n"/>
      <c r="K394" s="24" t="n"/>
      <c r="L394" s="4" t="n">
        <v>2</v>
      </c>
      <c r="M394" s="4" t="inlineStr">
        <is>
          <t>sin muestra</t>
        </is>
      </c>
      <c r="N394" s="4" t="inlineStr">
        <is>
          <t>no valorable</t>
        </is>
      </c>
      <c r="O394" s="4" t="inlineStr">
        <is>
          <t>segmento con pocas operaciones comparables</t>
        </is>
      </c>
    </row>
    <row r="395">
      <c r="A395" s="4" t="inlineStr">
        <is>
          <t>MD-1485</t>
        </is>
      </c>
      <c r="B395" s="21" t="n">
        <v>45966</v>
      </c>
      <c r="C395" s="4" t="inlineStr">
        <is>
          <t>Fuencarral-El Pardo</t>
        </is>
      </c>
      <c r="D395" s="4" t="n">
        <v>46</v>
      </c>
      <c r="E395" s="4" t="inlineStr">
        <is>
          <t>a reformar</t>
        </is>
      </c>
      <c r="F395" s="22" t="n">
        <v>157000</v>
      </c>
      <c r="G395" s="23" t="n">
        <v>3413.04</v>
      </c>
      <c r="H395" s="22" t="n">
        <v>172628</v>
      </c>
      <c r="I395" s="23" t="n">
        <v>3752.77</v>
      </c>
      <c r="J395" s="18" t="n">
        <v>-0.0905</v>
      </c>
      <c r="K395" s="24" t="n">
        <v>72.59999999999999</v>
      </c>
      <c r="L395" s="4" t="n">
        <v>7</v>
      </c>
      <c r="M395" s="4" t="inlineStr">
        <is>
          <t>baja</t>
        </is>
      </c>
      <c r="N395" s="4" t="inlineStr">
        <is>
          <t>en linea con comparables</t>
        </is>
      </c>
      <c r="O395" s="4" t="n"/>
    </row>
    <row r="396">
      <c r="A396" s="4" t="inlineStr">
        <is>
          <t>MD-1327</t>
        </is>
      </c>
      <c r="B396" s="21" t="n">
        <v>45967</v>
      </c>
      <c r="C396" s="4" t="inlineStr">
        <is>
          <t>Chamartin</t>
        </is>
      </c>
      <c r="D396" s="4" t="n">
        <v>55</v>
      </c>
      <c r="E396" s="4" t="inlineStr">
        <is>
          <t>obra nueva</t>
        </is>
      </c>
      <c r="F396" s="22" t="n">
        <v>486000</v>
      </c>
      <c r="G396" s="23" t="n">
        <v>8836.360000000001</v>
      </c>
      <c r="H396" s="22" t="n">
        <v>489063</v>
      </c>
      <c r="I396" s="23" t="n">
        <v>8892.049999999999</v>
      </c>
      <c r="J396" s="18" t="n">
        <v>-0.0063</v>
      </c>
      <c r="K396" s="24" t="n">
        <v>51.6</v>
      </c>
      <c r="L396" s="4" t="n">
        <v>6</v>
      </c>
      <c r="M396" s="4" t="inlineStr">
        <is>
          <t>baja</t>
        </is>
      </c>
      <c r="N396" s="4" t="inlineStr">
        <is>
          <t>en linea con comparables</t>
        </is>
      </c>
      <c r="O396" s="4" t="n"/>
    </row>
    <row r="397">
      <c r="A397" s="4" t="inlineStr">
        <is>
          <t>MD-0400</t>
        </is>
      </c>
      <c r="B397" s="21" t="n">
        <v>45967</v>
      </c>
      <c r="C397" s="4" t="inlineStr">
        <is>
          <t>Ciudad Lineal</t>
        </is>
      </c>
      <c r="D397" s="4" t="n">
        <v>129</v>
      </c>
      <c r="E397" s="4" t="inlineStr">
        <is>
          <t>buen estado</t>
        </is>
      </c>
      <c r="F397" s="22" t="n">
        <v>630000</v>
      </c>
      <c r="G397" s="23" t="n">
        <v>4883.72</v>
      </c>
      <c r="H397" s="22" t="n"/>
      <c r="I397" s="23" t="n"/>
      <c r="J397" s="18" t="n"/>
      <c r="K397" s="24" t="n"/>
      <c r="L397" s="4" t="n">
        <v>1</v>
      </c>
      <c r="M397" s="4" t="inlineStr">
        <is>
          <t>sin muestra</t>
        </is>
      </c>
      <c r="N397" s="4" t="inlineStr">
        <is>
          <t>no valorable</t>
        </is>
      </c>
      <c r="O397" s="4" t="inlineStr">
        <is>
          <t>segmento con pocas operaciones comparables</t>
        </is>
      </c>
    </row>
    <row r="398">
      <c r="A398" s="4" t="inlineStr">
        <is>
          <t>MD-1805</t>
        </is>
      </c>
      <c r="B398" s="21" t="n">
        <v>45967</v>
      </c>
      <c r="C398" s="4" t="inlineStr">
        <is>
          <t>Salamanca</t>
        </is>
      </c>
      <c r="D398" s="4" t="n">
        <v>39</v>
      </c>
      <c r="E398" s="4" t="inlineStr">
        <is>
          <t>a reformar</t>
        </is>
      </c>
      <c r="F398" s="22" t="n">
        <v>306000</v>
      </c>
      <c r="G398" s="23" t="n">
        <v>7846.15</v>
      </c>
      <c r="H398" s="22" t="n"/>
      <c r="I398" s="23" t="n"/>
      <c r="J398" s="18" t="n"/>
      <c r="K398" s="24" t="n"/>
      <c r="L398" s="4" t="n">
        <v>0</v>
      </c>
      <c r="M398" s="4" t="inlineStr">
        <is>
          <t>sin muestra</t>
        </is>
      </c>
      <c r="N398" s="4" t="inlineStr">
        <is>
          <t>no valorable</t>
        </is>
      </c>
      <c r="O398" s="4" t="inlineStr">
        <is>
          <t>segmento con pocas operaciones comparables</t>
        </is>
      </c>
    </row>
    <row r="399">
      <c r="A399" s="4" t="inlineStr">
        <is>
          <t>MD-0458</t>
        </is>
      </c>
      <c r="B399" s="21" t="n">
        <v>45968</v>
      </c>
      <c r="C399" s="4" t="inlineStr">
        <is>
          <t>Fuencarral-El Pardo</t>
        </is>
      </c>
      <c r="D399" s="4" t="n">
        <v>151</v>
      </c>
      <c r="E399" s="4" t="inlineStr">
        <is>
          <t>a reformar</t>
        </is>
      </c>
      <c r="F399" s="22" t="n">
        <v>689000</v>
      </c>
      <c r="G399" s="23" t="n">
        <v>4562.91</v>
      </c>
      <c r="H399" s="22" t="n">
        <v>647142</v>
      </c>
      <c r="I399" s="23" t="n">
        <v>4285.71</v>
      </c>
      <c r="J399" s="18" t="n">
        <v>0.06469999999999999</v>
      </c>
      <c r="K399" s="24" t="n">
        <v>33.8</v>
      </c>
      <c r="L399" s="4" t="n">
        <v>7</v>
      </c>
      <c r="M399" s="4" t="inlineStr">
        <is>
          <t>baja</t>
        </is>
      </c>
      <c r="N399" s="4" t="inlineStr">
        <is>
          <t>en linea con comparables</t>
        </is>
      </c>
      <c r="O399" s="4" t="n"/>
    </row>
    <row r="400">
      <c r="A400" s="4" t="inlineStr">
        <is>
          <t>MD-1801</t>
        </is>
      </c>
      <c r="B400" s="21" t="n">
        <v>45968</v>
      </c>
      <c r="C400" s="4" t="inlineStr">
        <is>
          <t>Tetuan</t>
        </is>
      </c>
      <c r="D400" s="4" t="n">
        <v>50</v>
      </c>
      <c r="E400" s="4" t="inlineStr">
        <is>
          <t>a reformar</t>
        </is>
      </c>
      <c r="F400" s="22" t="n">
        <v>217000</v>
      </c>
      <c r="G400" s="23" t="n">
        <v>4340</v>
      </c>
      <c r="H400" s="22" t="n">
        <v>206162</v>
      </c>
      <c r="I400" s="23" t="n">
        <v>4123.24</v>
      </c>
      <c r="J400" s="18" t="n">
        <v>0.0526</v>
      </c>
      <c r="K400" s="24" t="n">
        <v>36.9</v>
      </c>
      <c r="L400" s="4" t="n">
        <v>8</v>
      </c>
      <c r="M400" s="4" t="inlineStr">
        <is>
          <t>media</t>
        </is>
      </c>
      <c r="N400" s="4" t="inlineStr">
        <is>
          <t>en linea con comparables</t>
        </is>
      </c>
      <c r="O400" s="4" t="n"/>
    </row>
    <row r="401">
      <c r="A401" s="4" t="inlineStr">
        <is>
          <t>MD-1346</t>
        </is>
      </c>
      <c r="B401" s="21" t="n">
        <v>45968</v>
      </c>
      <c r="C401" s="4" t="inlineStr">
        <is>
          <t>Hortaleza</t>
        </is>
      </c>
      <c r="D401" s="4" t="n">
        <v>52</v>
      </c>
      <c r="E401" s="4" t="inlineStr">
        <is>
          <t>reformado</t>
        </is>
      </c>
      <c r="F401" s="22" t="n">
        <v>319000</v>
      </c>
      <c r="G401" s="23" t="n">
        <v>6134.62</v>
      </c>
      <c r="H401" s="22" t="n"/>
      <c r="I401" s="23" t="n"/>
      <c r="J401" s="18" t="n"/>
      <c r="K401" s="24" t="n"/>
      <c r="L401" s="4" t="n">
        <v>2</v>
      </c>
      <c r="M401" s="4" t="inlineStr">
        <is>
          <t>sin muestra</t>
        </is>
      </c>
      <c r="N401" s="4" t="inlineStr">
        <is>
          <t>no valorable</t>
        </is>
      </c>
      <c r="O401" s="4" t="inlineStr">
        <is>
          <t>segmento con pocas operaciones comparables</t>
        </is>
      </c>
    </row>
    <row r="402">
      <c r="A402" s="4" t="inlineStr">
        <is>
          <t>MD-1673</t>
        </is>
      </c>
      <c r="B402" s="21" t="n">
        <v>45968</v>
      </c>
      <c r="C402" s="4" t="inlineStr">
        <is>
          <t>Salamanca</t>
        </is>
      </c>
      <c r="D402" s="4" t="n">
        <v>56</v>
      </c>
      <c r="E402" s="4" t="inlineStr">
        <is>
          <t>buen estado</t>
        </is>
      </c>
      <c r="F402" s="22" t="n">
        <v>381000</v>
      </c>
      <c r="G402" s="23" t="n">
        <v>6803.57</v>
      </c>
      <c r="H402" s="22" t="n">
        <v>393319</v>
      </c>
      <c r="I402" s="23" t="n">
        <v>7023.55</v>
      </c>
      <c r="J402" s="18" t="n">
        <v>-0.0313</v>
      </c>
      <c r="K402" s="24" t="n">
        <v>57.8</v>
      </c>
      <c r="L402" s="4" t="n">
        <v>6</v>
      </c>
      <c r="M402" s="4" t="inlineStr">
        <is>
          <t>baja</t>
        </is>
      </c>
      <c r="N402" s="4" t="inlineStr">
        <is>
          <t>en linea con comparables</t>
        </is>
      </c>
      <c r="O402" s="4" t="n"/>
    </row>
    <row r="403">
      <c r="A403" s="4" t="inlineStr">
        <is>
          <t>MD-0548</t>
        </is>
      </c>
      <c r="B403" s="21" t="n">
        <v>45968</v>
      </c>
      <c r="C403" s="4" t="inlineStr">
        <is>
          <t>Vicalvaro</t>
        </is>
      </c>
      <c r="D403" s="4" t="n">
        <v>86</v>
      </c>
      <c r="E403" s="4" t="inlineStr">
        <is>
          <t>a reformar</t>
        </is>
      </c>
      <c r="F403" s="22" t="n">
        <v>181000</v>
      </c>
      <c r="G403" s="23" t="n">
        <v>2104.65</v>
      </c>
      <c r="H403" s="22" t="n">
        <v>193353</v>
      </c>
      <c r="I403" s="23" t="n">
        <v>2248.29</v>
      </c>
      <c r="J403" s="18" t="n">
        <v>-0.0639</v>
      </c>
      <c r="K403" s="24" t="n">
        <v>66</v>
      </c>
      <c r="L403" s="4" t="n">
        <v>8</v>
      </c>
      <c r="M403" s="4" t="inlineStr">
        <is>
          <t>media</t>
        </is>
      </c>
      <c r="N403" s="4" t="inlineStr">
        <is>
          <t>en linea con comparables</t>
        </is>
      </c>
      <c r="O403" s="4" t="n"/>
    </row>
    <row r="404">
      <c r="A404" s="4" t="inlineStr">
        <is>
          <t>MD-0350</t>
        </is>
      </c>
      <c r="B404" s="21" t="n">
        <v>45968</v>
      </c>
      <c r="C404" s="4" t="inlineStr">
        <is>
          <t>Hortaleza</t>
        </is>
      </c>
      <c r="D404" s="4" t="n">
        <v>152</v>
      </c>
      <c r="E404" s="4" t="inlineStr">
        <is>
          <t>reformado</t>
        </is>
      </c>
      <c r="F404" s="22" t="n">
        <v>927000</v>
      </c>
      <c r="G404" s="23" t="n">
        <v>6098.68</v>
      </c>
      <c r="H404" s="22" t="n">
        <v>718444</v>
      </c>
      <c r="I404" s="23" t="n">
        <v>4726.6</v>
      </c>
      <c r="J404" s="18" t="n">
        <v>0.2903</v>
      </c>
      <c r="K404" s="24" t="n">
        <v>0</v>
      </c>
      <c r="L404" s="4" t="n">
        <v>5</v>
      </c>
      <c r="M404" s="4" t="inlineStr">
        <is>
          <t>baja</t>
        </is>
      </c>
      <c r="N404" s="4" t="inlineStr">
        <is>
          <t>por encima de comparables</t>
        </is>
      </c>
      <c r="O404" s="4" t="n"/>
    </row>
    <row r="405">
      <c r="A405" s="4" t="inlineStr">
        <is>
          <t>MD-0679</t>
        </is>
      </c>
      <c r="B405" s="21" t="n">
        <v>45969</v>
      </c>
      <c r="C405" s="4" t="inlineStr">
        <is>
          <t>San Blas-Canillejas</t>
        </is>
      </c>
      <c r="D405" s="4" t="n">
        <v>80</v>
      </c>
      <c r="E405" s="4" t="inlineStr">
        <is>
          <t>buen estado</t>
        </is>
      </c>
      <c r="F405" s="22" t="n">
        <v>347000</v>
      </c>
      <c r="G405" s="23" t="n">
        <v>4337.5</v>
      </c>
      <c r="H405" s="22" t="n"/>
      <c r="I405" s="23" t="n"/>
      <c r="J405" s="18" t="n"/>
      <c r="K405" s="24" t="n"/>
      <c r="L405" s="4" t="n">
        <v>4</v>
      </c>
      <c r="M405" s="4" t="inlineStr">
        <is>
          <t>sin muestra</t>
        </is>
      </c>
      <c r="N405" s="4" t="inlineStr">
        <is>
          <t>no valorable</t>
        </is>
      </c>
      <c r="O405" s="4" t="inlineStr">
        <is>
          <t>segmento con pocas operaciones comparables</t>
        </is>
      </c>
    </row>
    <row r="406">
      <c r="A406" s="4" t="inlineStr">
        <is>
          <t>MD-1809</t>
        </is>
      </c>
      <c r="B406" s="21" t="n">
        <v>45969</v>
      </c>
      <c r="C406" s="4" t="inlineStr">
        <is>
          <t>Vicalvaro</t>
        </is>
      </c>
      <c r="D406" s="4" t="n">
        <v>60</v>
      </c>
      <c r="E406" s="4" t="inlineStr">
        <is>
          <t>buen estado</t>
        </is>
      </c>
      <c r="F406" s="22" t="n">
        <v>181000</v>
      </c>
      <c r="G406" s="23" t="n">
        <v>3016.67</v>
      </c>
      <c r="H406" s="22" t="n"/>
      <c r="I406" s="23" t="n"/>
      <c r="J406" s="18" t="n"/>
      <c r="K406" s="24" t="n"/>
      <c r="L406" s="4" t="n">
        <v>3</v>
      </c>
      <c r="M406" s="4" t="inlineStr">
        <is>
          <t>sin muestra</t>
        </is>
      </c>
      <c r="N406" s="4" t="inlineStr">
        <is>
          <t>no valorable</t>
        </is>
      </c>
      <c r="O406" s="4" t="inlineStr">
        <is>
          <t>segmento con pocas operaciones comparables</t>
        </is>
      </c>
    </row>
    <row r="407">
      <c r="A407" s="4" t="inlineStr">
        <is>
          <t>MD-0448</t>
        </is>
      </c>
      <c r="B407" s="21" t="n">
        <v>45969</v>
      </c>
      <c r="C407" s="4" t="inlineStr">
        <is>
          <t>Carabanchel</t>
        </is>
      </c>
      <c r="D407" s="4" t="n">
        <v>76</v>
      </c>
      <c r="E407" s="4" t="inlineStr">
        <is>
          <t>reformado</t>
        </is>
      </c>
      <c r="F407" s="22" t="n">
        <v>338000</v>
      </c>
      <c r="G407" s="23" t="n">
        <v>4447.37</v>
      </c>
      <c r="H407" s="22" t="n">
        <v>309300</v>
      </c>
      <c r="I407" s="23" t="n">
        <v>4069.73</v>
      </c>
      <c r="J407" s="18" t="n">
        <v>0.09279999999999999</v>
      </c>
      <c r="K407" s="24" t="n">
        <v>26.8</v>
      </c>
      <c r="L407" s="4" t="n">
        <v>9</v>
      </c>
      <c r="M407" s="4" t="inlineStr">
        <is>
          <t>media</t>
        </is>
      </c>
      <c r="N407" s="4" t="inlineStr">
        <is>
          <t>en linea con comparables</t>
        </is>
      </c>
      <c r="O407" s="4" t="n"/>
    </row>
    <row r="408">
      <c r="A408" s="4" t="inlineStr">
        <is>
          <t>MD-1055</t>
        </is>
      </c>
      <c r="B408" s="21" t="n">
        <v>45969</v>
      </c>
      <c r="C408" s="4" t="inlineStr">
        <is>
          <t>Latina</t>
        </is>
      </c>
      <c r="D408" s="4" t="n">
        <v>60</v>
      </c>
      <c r="E408" s="4" t="inlineStr">
        <is>
          <t>buen estado</t>
        </is>
      </c>
      <c r="F408" s="22" t="n">
        <v>153000</v>
      </c>
      <c r="G408" s="23" t="n">
        <v>2550</v>
      </c>
      <c r="H408" s="22" t="n">
        <v>167674</v>
      </c>
      <c r="I408" s="23" t="n">
        <v>2794.57</v>
      </c>
      <c r="J408" s="18" t="n">
        <v>-0.08749999999999999</v>
      </c>
      <c r="K408" s="24" t="n">
        <v>71.90000000000001</v>
      </c>
      <c r="L408" s="4" t="n">
        <v>13</v>
      </c>
      <c r="M408" s="4" t="inlineStr">
        <is>
          <t>baja</t>
        </is>
      </c>
      <c r="N408" s="4" t="inlineStr">
        <is>
          <t>en linea con comparables</t>
        </is>
      </c>
      <c r="O408" s="4" t="n"/>
    </row>
    <row r="409">
      <c r="A409" s="4" t="inlineStr">
        <is>
          <t>MD-1374</t>
        </is>
      </c>
      <c r="B409" s="21" t="n">
        <v>45969</v>
      </c>
      <c r="C409" s="4" t="inlineStr">
        <is>
          <t>Vicalvaro</t>
        </is>
      </c>
      <c r="D409" s="4" t="n">
        <v>115</v>
      </c>
      <c r="E409" s="4" t="inlineStr">
        <is>
          <t>reformado</t>
        </is>
      </c>
      <c r="F409" s="22" t="n">
        <v>429000</v>
      </c>
      <c r="G409" s="23" t="n">
        <v>3730.43</v>
      </c>
      <c r="H409" s="22" t="n"/>
      <c r="I409" s="23" t="n"/>
      <c r="J409" s="18" t="n"/>
      <c r="K409" s="24" t="n"/>
      <c r="L409" s="4" t="n">
        <v>2</v>
      </c>
      <c r="M409" s="4" t="inlineStr">
        <is>
          <t>sin muestra</t>
        </is>
      </c>
      <c r="N409" s="4" t="inlineStr">
        <is>
          <t>no valorable</t>
        </is>
      </c>
      <c r="O409" s="4" t="inlineStr">
        <is>
          <t>segmento con pocas operaciones comparables</t>
        </is>
      </c>
    </row>
    <row r="410">
      <c r="A410" s="4" t="inlineStr">
        <is>
          <t>MD-1946</t>
        </is>
      </c>
      <c r="B410" s="21" t="n">
        <v>45969</v>
      </c>
      <c r="C410" s="4" t="inlineStr">
        <is>
          <t>Puente de Vallecas</t>
        </is>
      </c>
      <c r="D410" s="4" t="n">
        <v>57</v>
      </c>
      <c r="E410" s="4" t="inlineStr">
        <is>
          <t>a reformar</t>
        </is>
      </c>
      <c r="F410" s="22" t="n">
        <v>153000</v>
      </c>
      <c r="G410" s="23" t="n">
        <v>2684.21</v>
      </c>
      <c r="H410" s="22" t="n">
        <v>121532</v>
      </c>
      <c r="I410" s="23" t="n">
        <v>2132.14</v>
      </c>
      <c r="J410" s="18" t="n">
        <v>0.2589</v>
      </c>
      <c r="K410" s="24" t="n">
        <v>0</v>
      </c>
      <c r="L410" s="4" t="n">
        <v>17</v>
      </c>
      <c r="M410" s="4" t="inlineStr">
        <is>
          <t>alta</t>
        </is>
      </c>
      <c r="N410" s="4" t="inlineStr">
        <is>
          <t>por encima de comparables</t>
        </is>
      </c>
      <c r="O410" s="4" t="n"/>
    </row>
    <row r="411">
      <c r="A411" s="4" t="inlineStr">
        <is>
          <t>MD-1347</t>
        </is>
      </c>
      <c r="B411" s="21" t="n">
        <v>45970</v>
      </c>
      <c r="C411" s="4" t="inlineStr">
        <is>
          <t>Chamartin</t>
        </is>
      </c>
      <c r="D411" s="4" t="n">
        <v>151</v>
      </c>
      <c r="E411" s="4" t="inlineStr">
        <is>
          <t>buen estado</t>
        </is>
      </c>
      <c r="F411" s="22" t="n">
        <v>916000</v>
      </c>
      <c r="G411" s="23" t="n">
        <v>6066.23</v>
      </c>
      <c r="H411" s="22" t="n"/>
      <c r="I411" s="23" t="n"/>
      <c r="J411" s="18" t="n"/>
      <c r="K411" s="24" t="n"/>
      <c r="L411" s="4" t="n">
        <v>4</v>
      </c>
      <c r="M411" s="4" t="inlineStr">
        <is>
          <t>sin muestra</t>
        </is>
      </c>
      <c r="N411" s="4" t="inlineStr">
        <is>
          <t>no valorable</t>
        </is>
      </c>
      <c r="O411" s="4" t="inlineStr">
        <is>
          <t>segmento con pocas operaciones comparables</t>
        </is>
      </c>
    </row>
    <row r="412">
      <c r="A412" s="4" t="inlineStr">
        <is>
          <t>MD-1826</t>
        </is>
      </c>
      <c r="B412" s="21" t="n">
        <v>45970</v>
      </c>
      <c r="C412" s="4" t="inlineStr">
        <is>
          <t>Ciudad Lineal</t>
        </is>
      </c>
      <c r="D412" s="4" t="n">
        <v>76</v>
      </c>
      <c r="E412" s="4" t="inlineStr">
        <is>
          <t>buen estado</t>
        </is>
      </c>
      <c r="F412" s="22" t="n">
        <v>275000</v>
      </c>
      <c r="G412" s="23" t="n">
        <v>3618.42</v>
      </c>
      <c r="H412" s="22" t="n">
        <v>366860</v>
      </c>
      <c r="I412" s="23" t="n">
        <v>4827.1</v>
      </c>
      <c r="J412" s="18" t="n">
        <v>-0.2504</v>
      </c>
      <c r="K412" s="24" t="n">
        <v>100</v>
      </c>
      <c r="L412" s="4" t="n">
        <v>6</v>
      </c>
      <c r="M412" s="4" t="inlineStr">
        <is>
          <t>baja</t>
        </is>
      </c>
      <c r="N412" s="4" t="inlineStr">
        <is>
          <t>por debajo de comparables</t>
        </is>
      </c>
      <c r="O412" s="4" t="n"/>
    </row>
    <row r="413">
      <c r="A413" s="4" t="inlineStr">
        <is>
          <t>MD-0756</t>
        </is>
      </c>
      <c r="B413" s="21" t="n">
        <v>45970</v>
      </c>
      <c r="C413" s="4" t="inlineStr">
        <is>
          <t>San Blas-Canillejas</t>
        </is>
      </c>
      <c r="D413" s="4" t="n">
        <v>53</v>
      </c>
      <c r="E413" s="4" t="inlineStr">
        <is>
          <t>a reformar</t>
        </is>
      </c>
      <c r="F413" s="22" t="n">
        <v>164000</v>
      </c>
      <c r="G413" s="23" t="n">
        <v>3094.34</v>
      </c>
      <c r="H413" s="22" t="n">
        <v>168735</v>
      </c>
      <c r="I413" s="23" t="n">
        <v>3183.67</v>
      </c>
      <c r="J413" s="18" t="n">
        <v>-0.0281</v>
      </c>
      <c r="K413" s="24" t="n">
        <v>57</v>
      </c>
      <c r="L413" s="4" t="n">
        <v>7</v>
      </c>
      <c r="M413" s="4" t="inlineStr">
        <is>
          <t>baja</t>
        </is>
      </c>
      <c r="N413" s="4" t="inlineStr">
        <is>
          <t>en linea con comparables</t>
        </is>
      </c>
      <c r="O413" s="4" t="n"/>
    </row>
    <row r="414">
      <c r="A414" s="4" t="inlineStr">
        <is>
          <t>MD-0598</t>
        </is>
      </c>
      <c r="B414" s="21" t="n">
        <v>45970</v>
      </c>
      <c r="C414" s="4" t="inlineStr">
        <is>
          <t>Centro</t>
        </is>
      </c>
      <c r="D414" s="4" t="n">
        <v>47</v>
      </c>
      <c r="E414" s="4" t="inlineStr">
        <is>
          <t>buen estado</t>
        </is>
      </c>
      <c r="F414" s="22" t="n">
        <v>284000</v>
      </c>
      <c r="G414" s="23" t="n">
        <v>6042.55</v>
      </c>
      <c r="H414" s="22" t="n"/>
      <c r="I414" s="23" t="n"/>
      <c r="J414" s="18" t="n"/>
      <c r="K414" s="24" t="n"/>
      <c r="L414" s="4" t="n">
        <v>1</v>
      </c>
      <c r="M414" s="4" t="inlineStr">
        <is>
          <t>sin muestra</t>
        </is>
      </c>
      <c r="N414" s="4" t="inlineStr">
        <is>
          <t>no valorable</t>
        </is>
      </c>
      <c r="O414" s="4" t="inlineStr">
        <is>
          <t>segmento con pocas operaciones comparables</t>
        </is>
      </c>
    </row>
    <row r="415">
      <c r="A415" s="4" t="inlineStr">
        <is>
          <t>MD-1248</t>
        </is>
      </c>
      <c r="B415" s="21" t="n">
        <v>45970</v>
      </c>
      <c r="C415" s="4" t="inlineStr">
        <is>
          <t>Carabanchel</t>
        </is>
      </c>
      <c r="D415" s="4" t="n">
        <v>49</v>
      </c>
      <c r="E415" s="4" t="inlineStr">
        <is>
          <t>buen estado</t>
        </is>
      </c>
      <c r="F415" s="22" t="n">
        <v>193000</v>
      </c>
      <c r="G415" s="23" t="n">
        <v>3938.78</v>
      </c>
      <c r="H415" s="22" t="n">
        <v>162458</v>
      </c>
      <c r="I415" s="23" t="n">
        <v>3315.47</v>
      </c>
      <c r="J415" s="18" t="n">
        <v>0.188</v>
      </c>
      <c r="K415" s="24" t="n">
        <v>3</v>
      </c>
      <c r="L415" s="4" t="n">
        <v>6</v>
      </c>
      <c r="M415" s="4" t="inlineStr">
        <is>
          <t>baja</t>
        </is>
      </c>
      <c r="N415" s="4" t="inlineStr">
        <is>
          <t>por encima de comparables</t>
        </is>
      </c>
      <c r="O415" s="4" t="n"/>
    </row>
    <row r="416">
      <c r="A416" s="4" t="inlineStr">
        <is>
          <t>MD-0408</t>
        </is>
      </c>
      <c r="B416" s="21" t="n">
        <v>45971</v>
      </c>
      <c r="C416" s="4" t="inlineStr">
        <is>
          <t>Carabanchel</t>
        </is>
      </c>
      <c r="D416" s="4" t="n">
        <v>66</v>
      </c>
      <c r="E416" s="4" t="inlineStr">
        <is>
          <t>buen estado</t>
        </is>
      </c>
      <c r="F416" s="22" t="n">
        <v>195000</v>
      </c>
      <c r="G416" s="23" t="n">
        <v>2954.55</v>
      </c>
      <c r="H416" s="22" t="n">
        <v>210536</v>
      </c>
      <c r="I416" s="23" t="n">
        <v>3189.94</v>
      </c>
      <c r="J416" s="18" t="n">
        <v>-0.0738</v>
      </c>
      <c r="K416" s="24" t="n">
        <v>68.40000000000001</v>
      </c>
      <c r="L416" s="4" t="n">
        <v>10</v>
      </c>
      <c r="M416" s="4" t="inlineStr">
        <is>
          <t>media</t>
        </is>
      </c>
      <c r="N416" s="4" t="inlineStr">
        <is>
          <t>en linea con comparables</t>
        </is>
      </c>
      <c r="O416" s="4" t="n"/>
    </row>
    <row r="417">
      <c r="A417" s="4" t="inlineStr">
        <is>
          <t>MD-1561</t>
        </is>
      </c>
      <c r="B417" s="21" t="n">
        <v>45971</v>
      </c>
      <c r="C417" s="4" t="inlineStr">
        <is>
          <t>Vicalvaro</t>
        </is>
      </c>
      <c r="D417" s="4" t="n">
        <v>80</v>
      </c>
      <c r="E417" s="4" t="inlineStr">
        <is>
          <t>buen estado</t>
        </is>
      </c>
      <c r="F417" s="22" t="n">
        <v>260000</v>
      </c>
      <c r="G417" s="23" t="n">
        <v>3250</v>
      </c>
      <c r="H417" s="22" t="n">
        <v>282196</v>
      </c>
      <c r="I417" s="23" t="n">
        <v>3527.45</v>
      </c>
      <c r="J417" s="18" t="n">
        <v>-0.07870000000000001</v>
      </c>
      <c r="K417" s="24" t="n">
        <v>69.7</v>
      </c>
      <c r="L417" s="4" t="n">
        <v>10</v>
      </c>
      <c r="M417" s="4" t="inlineStr">
        <is>
          <t>media</t>
        </is>
      </c>
      <c r="N417" s="4" t="inlineStr">
        <is>
          <t>en linea con comparables</t>
        </is>
      </c>
      <c r="O417" s="4" t="n"/>
    </row>
    <row r="418">
      <c r="A418" s="4" t="inlineStr">
        <is>
          <t>MD-1073</t>
        </is>
      </c>
      <c r="B418" s="21" t="n">
        <v>45971</v>
      </c>
      <c r="C418" s="4" t="inlineStr">
        <is>
          <t>Fuencarral-El Pardo</t>
        </is>
      </c>
      <c r="D418" s="4" t="n">
        <v>85</v>
      </c>
      <c r="E418" s="4" t="inlineStr">
        <is>
          <t>reformado</t>
        </is>
      </c>
      <c r="F418" s="22" t="n">
        <v>645000</v>
      </c>
      <c r="G418" s="23" t="n">
        <v>7588.24</v>
      </c>
      <c r="H418" s="22" t="n">
        <v>545196</v>
      </c>
      <c r="I418" s="23" t="n">
        <v>6414.07</v>
      </c>
      <c r="J418" s="18" t="n">
        <v>0.1831</v>
      </c>
      <c r="K418" s="24" t="n">
        <v>4.2</v>
      </c>
      <c r="L418" s="4" t="n">
        <v>10</v>
      </c>
      <c r="M418" s="4" t="inlineStr">
        <is>
          <t>media</t>
        </is>
      </c>
      <c r="N418" s="4" t="inlineStr">
        <is>
          <t>por encima de comparables</t>
        </is>
      </c>
      <c r="O418" s="4" t="n"/>
    </row>
    <row r="419">
      <c r="A419" s="4" t="inlineStr">
        <is>
          <t>MD-0352</t>
        </is>
      </c>
      <c r="B419" s="21" t="n">
        <v>45971</v>
      </c>
      <c r="C419" s="4" t="inlineStr">
        <is>
          <t>Centro</t>
        </is>
      </c>
      <c r="D419" s="4" t="n">
        <v>69</v>
      </c>
      <c r="E419" s="4" t="inlineStr">
        <is>
          <t>buen estado</t>
        </is>
      </c>
      <c r="F419" s="22" t="n">
        <v>421000</v>
      </c>
      <c r="G419" s="23" t="n">
        <v>6101.45</v>
      </c>
      <c r="H419" s="22" t="n">
        <v>498887</v>
      </c>
      <c r="I419" s="23" t="n">
        <v>7230.25</v>
      </c>
      <c r="J419" s="18" t="n">
        <v>-0.1561</v>
      </c>
      <c r="K419" s="24" t="n">
        <v>89</v>
      </c>
      <c r="L419" s="4" t="n">
        <v>6</v>
      </c>
      <c r="M419" s="4" t="inlineStr">
        <is>
          <t>baja</t>
        </is>
      </c>
      <c r="N419" s="4" t="inlineStr">
        <is>
          <t>por debajo de comparables</t>
        </is>
      </c>
      <c r="O419" s="4" t="n"/>
    </row>
    <row r="420">
      <c r="A420" s="4" t="inlineStr">
        <is>
          <t>MD-0257</t>
        </is>
      </c>
      <c r="B420" s="21" t="n">
        <v>45971</v>
      </c>
      <c r="C420" s="4" t="inlineStr">
        <is>
          <t>San Blas-Canillejas</t>
        </is>
      </c>
      <c r="D420" s="4" t="n">
        <v>80</v>
      </c>
      <c r="E420" s="4" t="inlineStr">
        <is>
          <t>buen estado</t>
        </is>
      </c>
      <c r="F420" s="22" t="n">
        <v>350000</v>
      </c>
      <c r="G420" s="23" t="n">
        <v>4375</v>
      </c>
      <c r="H420" s="22" t="n">
        <v>315944</v>
      </c>
      <c r="I420" s="23" t="n">
        <v>3949.3</v>
      </c>
      <c r="J420" s="18" t="n">
        <v>0.1078</v>
      </c>
      <c r="K420" s="24" t="n">
        <v>23.1</v>
      </c>
      <c r="L420" s="4" t="n">
        <v>5</v>
      </c>
      <c r="M420" s="4" t="inlineStr">
        <is>
          <t>baja</t>
        </is>
      </c>
      <c r="N420" s="4" t="inlineStr">
        <is>
          <t>por encima de comparables</t>
        </is>
      </c>
      <c r="O420" s="4" t="n"/>
    </row>
    <row r="421">
      <c r="A421" s="4" t="inlineStr">
        <is>
          <t>MD-0522</t>
        </is>
      </c>
      <c r="B421" s="21" t="n">
        <v>45971</v>
      </c>
      <c r="C421" s="4" t="inlineStr">
        <is>
          <t>Arganzuela</t>
        </is>
      </c>
      <c r="D421" s="4" t="n">
        <v>146</v>
      </c>
      <c r="E421" s="4" t="inlineStr">
        <is>
          <t>reformado</t>
        </is>
      </c>
      <c r="F421" s="22" t="n">
        <v>763000</v>
      </c>
      <c r="G421" s="23" t="n">
        <v>5226.03</v>
      </c>
      <c r="H421" s="22" t="n">
        <v>930866</v>
      </c>
      <c r="I421" s="23" t="n">
        <v>6375.79</v>
      </c>
      <c r="J421" s="18" t="n">
        <v>-0.1803</v>
      </c>
      <c r="K421" s="24" t="n">
        <v>95.09999999999999</v>
      </c>
      <c r="L421" s="4" t="n">
        <v>5</v>
      </c>
      <c r="M421" s="4" t="inlineStr">
        <is>
          <t>baja</t>
        </is>
      </c>
      <c r="N421" s="4" t="inlineStr">
        <is>
          <t>por debajo de comparables</t>
        </is>
      </c>
      <c r="O421" s="4" t="n"/>
    </row>
    <row r="422">
      <c r="A422" s="4" t="inlineStr">
        <is>
          <t>MD-0989</t>
        </is>
      </c>
      <c r="B422" s="21" t="n">
        <v>45972</v>
      </c>
      <c r="C422" s="4" t="inlineStr">
        <is>
          <t>Tetuan</t>
        </is>
      </c>
      <c r="D422" s="4" t="n">
        <v>92</v>
      </c>
      <c r="E422" s="4" t="inlineStr">
        <is>
          <t>obra nueva</t>
        </is>
      </c>
      <c r="F422" s="22" t="n">
        <v>573000</v>
      </c>
      <c r="G422" s="23" t="n">
        <v>6228.26</v>
      </c>
      <c r="H422" s="22" t="n">
        <v>435125</v>
      </c>
      <c r="I422" s="23" t="n">
        <v>4729.62</v>
      </c>
      <c r="J422" s="18" t="n">
        <v>0.3169</v>
      </c>
      <c r="K422" s="24" t="n">
        <v>0</v>
      </c>
      <c r="L422" s="4" t="n">
        <v>7</v>
      </c>
      <c r="M422" s="4" t="inlineStr">
        <is>
          <t>baja</t>
        </is>
      </c>
      <c r="N422" s="4" t="inlineStr">
        <is>
          <t>por encima de comparables</t>
        </is>
      </c>
      <c r="O422" s="4" t="n"/>
    </row>
    <row r="423">
      <c r="A423" s="4" t="inlineStr">
        <is>
          <t>MD-1899</t>
        </is>
      </c>
      <c r="B423" s="21" t="n">
        <v>45972</v>
      </c>
      <c r="C423" s="4" t="inlineStr">
        <is>
          <t>Barajas</t>
        </is>
      </c>
      <c r="D423" s="4" t="n">
        <v>79</v>
      </c>
      <c r="E423" s="4" t="inlineStr">
        <is>
          <t>reformado</t>
        </is>
      </c>
      <c r="F423" s="22" t="n">
        <v>406000</v>
      </c>
      <c r="G423" s="23" t="n">
        <v>5139.24</v>
      </c>
      <c r="H423" s="22" t="n"/>
      <c r="I423" s="23" t="n"/>
      <c r="J423" s="18" t="n"/>
      <c r="K423" s="24" t="n"/>
      <c r="L423" s="4" t="n">
        <v>2</v>
      </c>
      <c r="M423" s="4" t="inlineStr">
        <is>
          <t>sin muestra</t>
        </is>
      </c>
      <c r="N423" s="4" t="inlineStr">
        <is>
          <t>no valorable</t>
        </is>
      </c>
      <c r="O423" s="4" t="inlineStr">
        <is>
          <t>segmento con pocas operaciones comparables</t>
        </is>
      </c>
    </row>
    <row r="424">
      <c r="A424" s="4" t="inlineStr">
        <is>
          <t>MD-0082</t>
        </is>
      </c>
      <c r="B424" s="21" t="n">
        <v>45972</v>
      </c>
      <c r="C424" s="4" t="inlineStr">
        <is>
          <t>Chamartin</t>
        </is>
      </c>
      <c r="D424" s="4" t="n">
        <v>151</v>
      </c>
      <c r="E424" s="4" t="inlineStr">
        <is>
          <t>buen estado</t>
        </is>
      </c>
      <c r="F424" s="22" t="n">
        <v>1162000</v>
      </c>
      <c r="G424" s="23" t="n">
        <v>7695.36</v>
      </c>
      <c r="H424" s="22" t="n">
        <v>952142</v>
      </c>
      <c r="I424" s="23" t="n">
        <v>6305.58</v>
      </c>
      <c r="J424" s="18" t="n">
        <v>0.2204</v>
      </c>
      <c r="K424" s="24" t="n">
        <v>0</v>
      </c>
      <c r="L424" s="4" t="n">
        <v>5</v>
      </c>
      <c r="M424" s="4" t="inlineStr">
        <is>
          <t>baja</t>
        </is>
      </c>
      <c r="N424" s="4" t="inlineStr">
        <is>
          <t>por encima de comparables</t>
        </is>
      </c>
      <c r="O424" s="4" t="n"/>
    </row>
    <row r="425">
      <c r="A425" s="4" t="inlineStr">
        <is>
          <t>MD-0838</t>
        </is>
      </c>
      <c r="B425" s="21" t="n">
        <v>45972</v>
      </c>
      <c r="C425" s="4" t="inlineStr">
        <is>
          <t>Usera</t>
        </is>
      </c>
      <c r="D425" s="4" t="n">
        <v>96</v>
      </c>
      <c r="E425" s="4" t="inlineStr">
        <is>
          <t>a reformar</t>
        </is>
      </c>
      <c r="F425" s="22" t="n">
        <v>255000</v>
      </c>
      <c r="G425" s="23" t="n">
        <v>2656.25</v>
      </c>
      <c r="H425" s="22" t="n">
        <v>234067</v>
      </c>
      <c r="I425" s="23" t="n">
        <v>2438.2</v>
      </c>
      <c r="J425" s="18" t="n">
        <v>0.08939999999999999</v>
      </c>
      <c r="K425" s="24" t="n">
        <v>27.6</v>
      </c>
      <c r="L425" s="4" t="n">
        <v>5</v>
      </c>
      <c r="M425" s="4" t="inlineStr">
        <is>
          <t>baja</t>
        </is>
      </c>
      <c r="N425" s="4" t="inlineStr">
        <is>
          <t>en linea con comparables</t>
        </is>
      </c>
      <c r="O425" s="4" t="n"/>
    </row>
    <row r="426">
      <c r="A426" s="4" t="inlineStr">
        <is>
          <t>MD-1744</t>
        </is>
      </c>
      <c r="B426" s="21" t="n">
        <v>45972</v>
      </c>
      <c r="C426" s="4" t="inlineStr">
        <is>
          <t>Chamartin</t>
        </is>
      </c>
      <c r="D426" s="4" t="n">
        <v>172</v>
      </c>
      <c r="E426" s="4" t="inlineStr">
        <is>
          <t>buen estado</t>
        </is>
      </c>
      <c r="F426" s="22" t="n">
        <v>1100000</v>
      </c>
      <c r="G426" s="23" t="n">
        <v>6395.35</v>
      </c>
      <c r="H426" s="22" t="n">
        <v>1301800</v>
      </c>
      <c r="I426" s="23" t="n">
        <v>7568.61</v>
      </c>
      <c r="J426" s="18" t="n">
        <v>-0.155</v>
      </c>
      <c r="K426" s="24" t="n">
        <v>88.8</v>
      </c>
      <c r="L426" s="4" t="n">
        <v>8</v>
      </c>
      <c r="M426" s="4" t="inlineStr">
        <is>
          <t>media</t>
        </is>
      </c>
      <c r="N426" s="4" t="inlineStr">
        <is>
          <t>por debajo de comparables</t>
        </is>
      </c>
      <c r="O426" s="4" t="n"/>
    </row>
    <row r="427">
      <c r="A427" s="4" t="inlineStr">
        <is>
          <t>MD-1877</t>
        </is>
      </c>
      <c r="B427" s="21" t="n">
        <v>45972</v>
      </c>
      <c r="C427" s="4" t="inlineStr">
        <is>
          <t>Fuencarral-El Pardo</t>
        </is>
      </c>
      <c r="D427" s="4" t="n">
        <v>34</v>
      </c>
      <c r="E427" s="4" t="inlineStr">
        <is>
          <t>reformado</t>
        </is>
      </c>
      <c r="F427" s="22" t="n">
        <v>235000</v>
      </c>
      <c r="G427" s="23" t="n">
        <v>6911.76</v>
      </c>
      <c r="H427" s="22" t="n"/>
      <c r="I427" s="23" t="n"/>
      <c r="J427" s="18" t="n"/>
      <c r="K427" s="24" t="n"/>
      <c r="L427" s="4" t="n">
        <v>0</v>
      </c>
      <c r="M427" s="4" t="inlineStr">
        <is>
          <t>sin muestra</t>
        </is>
      </c>
      <c r="N427" s="4" t="inlineStr">
        <is>
          <t>no valorable</t>
        </is>
      </c>
      <c r="O427" s="4" t="inlineStr">
        <is>
          <t>segmento con pocas operaciones comparables</t>
        </is>
      </c>
    </row>
    <row r="428">
      <c r="A428" s="4" t="inlineStr">
        <is>
          <t>MD-1985</t>
        </is>
      </c>
      <c r="B428" s="21" t="n">
        <v>45972</v>
      </c>
      <c r="C428" s="4" t="inlineStr">
        <is>
          <t>Tetuan</t>
        </is>
      </c>
      <c r="D428" s="4" t="n">
        <v>29</v>
      </c>
      <c r="E428" s="4" t="inlineStr">
        <is>
          <t>reformado</t>
        </is>
      </c>
      <c r="F428" s="22" t="n">
        <v>219000</v>
      </c>
      <c r="G428" s="23" t="n">
        <v>7551.72</v>
      </c>
      <c r="H428" s="22" t="n"/>
      <c r="I428" s="23" t="n"/>
      <c r="J428" s="18" t="n"/>
      <c r="K428" s="24" t="n"/>
      <c r="L428" s="4" t="n">
        <v>0</v>
      </c>
      <c r="M428" s="4" t="inlineStr">
        <is>
          <t>sin muestra</t>
        </is>
      </c>
      <c r="N428" s="4" t="inlineStr">
        <is>
          <t>no valorable</t>
        </is>
      </c>
      <c r="O428" s="4" t="inlineStr">
        <is>
          <t>segmento con pocas operaciones comparables</t>
        </is>
      </c>
    </row>
    <row r="429">
      <c r="A429" s="4" t="inlineStr">
        <is>
          <t>MD-0784</t>
        </is>
      </c>
      <c r="B429" s="21" t="n">
        <v>45972</v>
      </c>
      <c r="C429" s="4" t="inlineStr">
        <is>
          <t>Retiro</t>
        </is>
      </c>
      <c r="D429" s="4" t="n">
        <v>168</v>
      </c>
      <c r="E429" s="4" t="inlineStr">
        <is>
          <t>buen estado</t>
        </is>
      </c>
      <c r="F429" s="22" t="n">
        <v>896000</v>
      </c>
      <c r="G429" s="23" t="n">
        <v>5333.33</v>
      </c>
      <c r="H429" s="22" t="n"/>
      <c r="I429" s="23" t="n"/>
      <c r="J429" s="18" t="n"/>
      <c r="K429" s="24" t="n"/>
      <c r="L429" s="4" t="n">
        <v>3</v>
      </c>
      <c r="M429" s="4" t="inlineStr">
        <is>
          <t>sin muestra</t>
        </is>
      </c>
      <c r="N429" s="4" t="inlineStr">
        <is>
          <t>no valorable</t>
        </is>
      </c>
      <c r="O429" s="4" t="inlineStr">
        <is>
          <t>segmento con pocas operaciones comparables</t>
        </is>
      </c>
    </row>
    <row r="430">
      <c r="A430" s="4" t="inlineStr">
        <is>
          <t>MD-0513</t>
        </is>
      </c>
      <c r="B430" s="21" t="n">
        <v>45973</v>
      </c>
      <c r="C430" s="4" t="inlineStr">
        <is>
          <t>Fuencarral-El Pardo</t>
        </is>
      </c>
      <c r="D430" s="4" t="n">
        <v>121</v>
      </c>
      <c r="E430" s="4" t="inlineStr">
        <is>
          <t>reformado</t>
        </is>
      </c>
      <c r="F430" s="22" t="n">
        <v>892000</v>
      </c>
      <c r="G430" s="23" t="n">
        <v>7371.9</v>
      </c>
      <c r="H430" s="22" t="n">
        <v>814493</v>
      </c>
      <c r="I430" s="23" t="n">
        <v>6731.34</v>
      </c>
      <c r="J430" s="18" t="n">
        <v>0.09520000000000001</v>
      </c>
      <c r="K430" s="24" t="n">
        <v>26.2</v>
      </c>
      <c r="L430" s="4" t="n">
        <v>6</v>
      </c>
      <c r="M430" s="4" t="inlineStr">
        <is>
          <t>baja</t>
        </is>
      </c>
      <c r="N430" s="4" t="inlineStr">
        <is>
          <t>en linea con comparables</t>
        </is>
      </c>
      <c r="O430" s="4" t="n"/>
    </row>
    <row r="431">
      <c r="A431" s="4" t="inlineStr">
        <is>
          <t>MD-0323</t>
        </is>
      </c>
      <c r="B431" s="21" t="n">
        <v>45973</v>
      </c>
      <c r="C431" s="4" t="inlineStr">
        <is>
          <t>Salamanca</t>
        </is>
      </c>
      <c r="D431" s="4" t="n">
        <v>90</v>
      </c>
      <c r="E431" s="4" t="inlineStr">
        <is>
          <t>a reformar</t>
        </is>
      </c>
      <c r="F431" s="22" t="n">
        <v>701000</v>
      </c>
      <c r="G431" s="23" t="n">
        <v>7788.89</v>
      </c>
      <c r="H431" s="22" t="n"/>
      <c r="I431" s="23" t="n"/>
      <c r="J431" s="18" t="n"/>
      <c r="K431" s="24" t="n"/>
      <c r="L431" s="4" t="n">
        <v>3</v>
      </c>
      <c r="M431" s="4" t="inlineStr">
        <is>
          <t>sin muestra</t>
        </is>
      </c>
      <c r="N431" s="4" t="inlineStr">
        <is>
          <t>no valorable</t>
        </is>
      </c>
      <c r="O431" s="4" t="inlineStr">
        <is>
          <t>segmento con pocas operaciones comparables</t>
        </is>
      </c>
    </row>
    <row r="432">
      <c r="A432" s="4" t="inlineStr">
        <is>
          <t>MD-0512</t>
        </is>
      </c>
      <c r="B432" s="21" t="n">
        <v>45973</v>
      </c>
      <c r="C432" s="4" t="inlineStr">
        <is>
          <t>San Blas-Canillejas</t>
        </is>
      </c>
      <c r="D432" s="4" t="n">
        <v>177</v>
      </c>
      <c r="E432" s="4" t="inlineStr">
        <is>
          <t>buen estado</t>
        </is>
      </c>
      <c r="F432" s="22" t="n">
        <v>623000</v>
      </c>
      <c r="G432" s="23" t="n">
        <v>3519.77</v>
      </c>
      <c r="H432" s="22" t="n"/>
      <c r="I432" s="23" t="n"/>
      <c r="J432" s="18" t="n"/>
      <c r="K432" s="24" t="n"/>
      <c r="L432" s="4" t="n">
        <v>0</v>
      </c>
      <c r="M432" s="4" t="inlineStr">
        <is>
          <t>sin muestra</t>
        </is>
      </c>
      <c r="N432" s="4" t="inlineStr">
        <is>
          <t>no valorable</t>
        </is>
      </c>
      <c r="O432" s="4" t="inlineStr">
        <is>
          <t>segmento con pocas operaciones comparables</t>
        </is>
      </c>
    </row>
    <row r="433">
      <c r="A433" s="4" t="inlineStr">
        <is>
          <t>MD-0193</t>
        </is>
      </c>
      <c r="B433" s="21" t="n">
        <v>45973</v>
      </c>
      <c r="C433" s="4" t="inlineStr">
        <is>
          <t>Salamanca</t>
        </is>
      </c>
      <c r="D433" s="4" t="n">
        <v>43</v>
      </c>
      <c r="E433" s="4" t="inlineStr">
        <is>
          <t>reformado</t>
        </is>
      </c>
      <c r="F433" s="22" t="n">
        <v>354000</v>
      </c>
      <c r="G433" s="23" t="n">
        <v>8232.559999999999</v>
      </c>
      <c r="H433" s="22" t="n"/>
      <c r="I433" s="23" t="n"/>
      <c r="J433" s="18" t="n"/>
      <c r="K433" s="24" t="n"/>
      <c r="L433" s="4" t="n">
        <v>2</v>
      </c>
      <c r="M433" s="4" t="inlineStr">
        <is>
          <t>sin muestra</t>
        </is>
      </c>
      <c r="N433" s="4" t="inlineStr">
        <is>
          <t>no valorable</t>
        </is>
      </c>
      <c r="O433" s="4" t="inlineStr">
        <is>
          <t>segmento con pocas operaciones comparables</t>
        </is>
      </c>
    </row>
    <row r="434">
      <c r="A434" s="4" t="inlineStr">
        <is>
          <t>MD-0353</t>
        </is>
      </c>
      <c r="B434" s="21" t="n">
        <v>45973</v>
      </c>
      <c r="C434" s="4" t="inlineStr">
        <is>
          <t>Puente de Vallecas</t>
        </is>
      </c>
      <c r="D434" s="4" t="n">
        <v>78</v>
      </c>
      <c r="E434" s="4" t="inlineStr">
        <is>
          <t>buen estado</t>
        </is>
      </c>
      <c r="F434" s="22" t="n">
        <v>144000</v>
      </c>
      <c r="G434" s="23" t="n">
        <v>1846.15</v>
      </c>
      <c r="H434" s="22" t="n">
        <v>205630</v>
      </c>
      <c r="I434" s="23" t="n">
        <v>2636.28</v>
      </c>
      <c r="J434" s="18" t="n">
        <v>-0.2997</v>
      </c>
      <c r="K434" s="24" t="n">
        <v>100</v>
      </c>
      <c r="L434" s="4" t="n">
        <v>18</v>
      </c>
      <c r="M434" s="4" t="inlineStr">
        <is>
          <t>alta</t>
        </is>
      </c>
      <c r="N434" s="4" t="inlineStr">
        <is>
          <t>por debajo de comparables</t>
        </is>
      </c>
      <c r="O434" s="4" t="n"/>
    </row>
    <row r="435">
      <c r="A435" s="4" t="inlineStr">
        <is>
          <t>MD-1707</t>
        </is>
      </c>
      <c r="B435" s="21" t="n">
        <v>45973</v>
      </c>
      <c r="C435" s="4" t="inlineStr">
        <is>
          <t>Carabanchel</t>
        </is>
      </c>
      <c r="D435" s="4" t="n">
        <v>41</v>
      </c>
      <c r="E435" s="4" t="inlineStr">
        <is>
          <t>buen estado</t>
        </is>
      </c>
      <c r="F435" s="22" t="n">
        <v>106000</v>
      </c>
      <c r="G435" s="23" t="n">
        <v>2585.37</v>
      </c>
      <c r="H435" s="22" t="n"/>
      <c r="I435" s="23" t="n"/>
      <c r="J435" s="18" t="n"/>
      <c r="K435" s="24" t="n"/>
      <c r="L435" s="4" t="n">
        <v>4</v>
      </c>
      <c r="M435" s="4" t="inlineStr">
        <is>
          <t>sin muestra</t>
        </is>
      </c>
      <c r="N435" s="4" t="inlineStr">
        <is>
          <t>no valorable</t>
        </is>
      </c>
      <c r="O435" s="4" t="inlineStr">
        <is>
          <t>segmento con pocas operaciones comparables</t>
        </is>
      </c>
    </row>
    <row r="436">
      <c r="A436" s="4" t="inlineStr">
        <is>
          <t>MD-1616</t>
        </is>
      </c>
      <c r="B436" s="21" t="n">
        <v>45973</v>
      </c>
      <c r="C436" s="4" t="inlineStr">
        <is>
          <t>Usera</t>
        </is>
      </c>
      <c r="D436" s="4" t="n">
        <v>67</v>
      </c>
      <c r="E436" s="4" t="inlineStr">
        <is>
          <t>reformado</t>
        </is>
      </c>
      <c r="F436" s="22" t="n">
        <v>243000</v>
      </c>
      <c r="G436" s="23" t="n">
        <v>3626.87</v>
      </c>
      <c r="H436" s="22" t="n">
        <v>210890</v>
      </c>
      <c r="I436" s="23" t="n">
        <v>3147.61</v>
      </c>
      <c r="J436" s="18" t="n">
        <v>0.1523</v>
      </c>
      <c r="K436" s="24" t="n">
        <v>11.9</v>
      </c>
      <c r="L436" s="4" t="n">
        <v>6</v>
      </c>
      <c r="M436" s="4" t="inlineStr">
        <is>
          <t>baja</t>
        </is>
      </c>
      <c r="N436" s="4" t="inlineStr">
        <is>
          <t>por encima de comparables</t>
        </is>
      </c>
      <c r="O436" s="4" t="n"/>
    </row>
    <row r="437">
      <c r="A437" s="4" t="inlineStr">
        <is>
          <t>MD-0276</t>
        </is>
      </c>
      <c r="B437" s="21" t="n">
        <v>45973</v>
      </c>
      <c r="C437" s="4" t="inlineStr">
        <is>
          <t>Hortaleza</t>
        </is>
      </c>
      <c r="D437" s="4" t="n">
        <v>64</v>
      </c>
      <c r="E437" s="4" t="inlineStr">
        <is>
          <t>buen estado</t>
        </is>
      </c>
      <c r="F437" s="22" t="n">
        <v>354000</v>
      </c>
      <c r="G437" s="23" t="n">
        <v>5531.25</v>
      </c>
      <c r="H437" s="22" t="n">
        <v>304529</v>
      </c>
      <c r="I437" s="23" t="n">
        <v>4758.26</v>
      </c>
      <c r="J437" s="18" t="n">
        <v>0.1625</v>
      </c>
      <c r="K437" s="24" t="n">
        <v>9.4</v>
      </c>
      <c r="L437" s="4" t="n">
        <v>6</v>
      </c>
      <c r="M437" s="4" t="inlineStr">
        <is>
          <t>baja</t>
        </is>
      </c>
      <c r="N437" s="4" t="inlineStr">
        <is>
          <t>por encima de comparables</t>
        </is>
      </c>
      <c r="O437" s="4" t="n"/>
    </row>
    <row r="438">
      <c r="A438" s="4" t="inlineStr">
        <is>
          <t>MD-0748</t>
        </is>
      </c>
      <c r="B438" s="21" t="n">
        <v>45974</v>
      </c>
      <c r="C438" s="4" t="inlineStr">
        <is>
          <t>Villa de Vallecas</t>
        </is>
      </c>
      <c r="D438" s="4" t="n">
        <v>55</v>
      </c>
      <c r="E438" s="4" t="inlineStr">
        <is>
          <t>buen estado</t>
        </is>
      </c>
      <c r="F438" s="22" t="n">
        <v>151000</v>
      </c>
      <c r="G438" s="23" t="n">
        <v>2745.45</v>
      </c>
      <c r="H438" s="22" t="n"/>
      <c r="I438" s="23" t="n"/>
      <c r="J438" s="18" t="n"/>
      <c r="K438" s="24" t="n"/>
      <c r="L438" s="4" t="n">
        <v>4</v>
      </c>
      <c r="M438" s="4" t="inlineStr">
        <is>
          <t>sin muestra</t>
        </is>
      </c>
      <c r="N438" s="4" t="inlineStr">
        <is>
          <t>no valorable</t>
        </is>
      </c>
      <c r="O438" s="4" t="inlineStr">
        <is>
          <t>segmento con pocas operaciones comparables</t>
        </is>
      </c>
    </row>
    <row r="439">
      <c r="A439" s="4" t="inlineStr">
        <is>
          <t>MD-1978</t>
        </is>
      </c>
      <c r="B439" s="21" t="n">
        <v>45974</v>
      </c>
      <c r="C439" s="4" t="inlineStr">
        <is>
          <t>Tetuan</t>
        </is>
      </c>
      <c r="D439" s="4" t="n">
        <v>109</v>
      </c>
      <c r="E439" s="4" t="inlineStr">
        <is>
          <t>buen estado</t>
        </is>
      </c>
      <c r="F439" s="22" t="n">
        <v>592000</v>
      </c>
      <c r="G439" s="23" t="n">
        <v>5431.19</v>
      </c>
      <c r="H439" s="22" t="n">
        <v>505487</v>
      </c>
      <c r="I439" s="23" t="n">
        <v>4637.5</v>
      </c>
      <c r="J439" s="18" t="n">
        <v>0.1711</v>
      </c>
      <c r="K439" s="24" t="n">
        <v>7.2</v>
      </c>
      <c r="L439" s="4" t="n">
        <v>5</v>
      </c>
      <c r="M439" s="4" t="inlineStr">
        <is>
          <t>baja</t>
        </is>
      </c>
      <c r="N439" s="4" t="inlineStr">
        <is>
          <t>por encima de comparables</t>
        </is>
      </c>
      <c r="O439" s="4" t="n"/>
    </row>
    <row r="440">
      <c r="A440" s="4" t="inlineStr">
        <is>
          <t>MD-1252</t>
        </is>
      </c>
      <c r="B440" s="21" t="n">
        <v>45975</v>
      </c>
      <c r="C440" s="4" t="inlineStr">
        <is>
          <t>Vicalvaro</t>
        </is>
      </c>
      <c r="D440" s="4" t="n">
        <v>44</v>
      </c>
      <c r="E440" s="4" t="inlineStr">
        <is>
          <t>buen estado</t>
        </is>
      </c>
      <c r="F440" s="22" t="n">
        <v>123000</v>
      </c>
      <c r="G440" s="23" t="n">
        <v>2795.45</v>
      </c>
      <c r="H440" s="22" t="n"/>
      <c r="I440" s="23" t="n"/>
      <c r="J440" s="18" t="n"/>
      <c r="K440" s="24" t="n"/>
      <c r="L440" s="4" t="n">
        <v>2</v>
      </c>
      <c r="M440" s="4" t="inlineStr">
        <is>
          <t>sin muestra</t>
        </is>
      </c>
      <c r="N440" s="4" t="inlineStr">
        <is>
          <t>no valorable</t>
        </is>
      </c>
      <c r="O440" s="4" t="inlineStr">
        <is>
          <t>segmento con pocas operaciones comparables</t>
        </is>
      </c>
    </row>
    <row r="441">
      <c r="A441" s="4" t="inlineStr">
        <is>
          <t>MD-0362</t>
        </is>
      </c>
      <c r="B441" s="21" t="n">
        <v>45975</v>
      </c>
      <c r="C441" s="4" t="inlineStr">
        <is>
          <t>Vicalvaro</t>
        </is>
      </c>
      <c r="D441" s="4" t="n">
        <v>60</v>
      </c>
      <c r="E441" s="4" t="inlineStr">
        <is>
          <t>buen estado</t>
        </is>
      </c>
      <c r="F441" s="22" t="n">
        <v>198000</v>
      </c>
      <c r="G441" s="23" t="n">
        <v>3300</v>
      </c>
      <c r="H441" s="22" t="n"/>
      <c r="I441" s="23" t="n"/>
      <c r="J441" s="18" t="n"/>
      <c r="K441" s="24" t="n"/>
      <c r="L441" s="4" t="n">
        <v>4</v>
      </c>
      <c r="M441" s="4" t="inlineStr">
        <is>
          <t>sin muestra</t>
        </is>
      </c>
      <c r="N441" s="4" t="inlineStr">
        <is>
          <t>no valorable</t>
        </is>
      </c>
      <c r="O441" s="4" t="inlineStr">
        <is>
          <t>segmento con pocas operaciones comparables</t>
        </is>
      </c>
    </row>
    <row r="442">
      <c r="A442" s="4" t="inlineStr">
        <is>
          <t>MD-0582</t>
        </is>
      </c>
      <c r="B442" s="21" t="n">
        <v>45975</v>
      </c>
      <c r="C442" s="4" t="inlineStr">
        <is>
          <t>Salamanca</t>
        </is>
      </c>
      <c r="D442" s="4" t="n">
        <v>36</v>
      </c>
      <c r="E442" s="4" t="inlineStr">
        <is>
          <t>obra nueva</t>
        </is>
      </c>
      <c r="F442" s="22" t="n">
        <v>283000</v>
      </c>
      <c r="G442" s="23" t="n">
        <v>7861.11</v>
      </c>
      <c r="H442" s="22" t="n"/>
      <c r="I442" s="23" t="n"/>
      <c r="J442" s="18" t="n"/>
      <c r="K442" s="24" t="n"/>
      <c r="L442" s="4" t="n">
        <v>3</v>
      </c>
      <c r="M442" s="4" t="inlineStr">
        <is>
          <t>sin muestra</t>
        </is>
      </c>
      <c r="N442" s="4" t="inlineStr">
        <is>
          <t>no valorable</t>
        </is>
      </c>
      <c r="O442" s="4" t="inlineStr">
        <is>
          <t>segmento con pocas operaciones comparables</t>
        </is>
      </c>
    </row>
    <row r="443">
      <c r="A443" s="4" t="inlineStr">
        <is>
          <t>MD-1954</t>
        </is>
      </c>
      <c r="B443" s="21" t="n">
        <v>45976</v>
      </c>
      <c r="C443" s="4" t="inlineStr">
        <is>
          <t>Villaverde</t>
        </is>
      </c>
      <c r="D443" s="4" t="n">
        <v>42</v>
      </c>
      <c r="E443" s="4" t="inlineStr">
        <is>
          <t>reformado</t>
        </is>
      </c>
      <c r="F443" s="22" t="n">
        <v>112000</v>
      </c>
      <c r="G443" s="23" t="n">
        <v>2666.67</v>
      </c>
      <c r="H443" s="22" t="n"/>
      <c r="I443" s="23" t="n"/>
      <c r="J443" s="18" t="n"/>
      <c r="K443" s="24" t="n"/>
      <c r="L443" s="4" t="n">
        <v>0</v>
      </c>
      <c r="M443" s="4" t="inlineStr">
        <is>
          <t>sin muestra</t>
        </is>
      </c>
      <c r="N443" s="4" t="inlineStr">
        <is>
          <t>no valorable</t>
        </is>
      </c>
      <c r="O443" s="4" t="inlineStr">
        <is>
          <t>segmento con pocas operaciones comparables</t>
        </is>
      </c>
    </row>
    <row r="444">
      <c r="A444" s="4" t="inlineStr">
        <is>
          <t>MD-0661</t>
        </is>
      </c>
      <c r="B444" s="21" t="n">
        <v>45976</v>
      </c>
      <c r="C444" s="4" t="inlineStr">
        <is>
          <t>Salamanca</t>
        </is>
      </c>
      <c r="D444" s="4" t="n">
        <v>45</v>
      </c>
      <c r="E444" s="4" t="inlineStr">
        <is>
          <t>buen estado</t>
        </is>
      </c>
      <c r="F444" s="22" t="n">
        <v>452000</v>
      </c>
      <c r="G444" s="23" t="n">
        <v>10044.44</v>
      </c>
      <c r="H444" s="22" t="n">
        <v>380027</v>
      </c>
      <c r="I444" s="23" t="n">
        <v>8445.040000000001</v>
      </c>
      <c r="J444" s="18" t="n">
        <v>0.1894</v>
      </c>
      <c r="K444" s="24" t="n">
        <v>2.7</v>
      </c>
      <c r="L444" s="4" t="n">
        <v>5</v>
      </c>
      <c r="M444" s="4" t="inlineStr">
        <is>
          <t>baja</t>
        </is>
      </c>
      <c r="N444" s="4" t="inlineStr">
        <is>
          <t>por encima de comparables</t>
        </is>
      </c>
      <c r="O444" s="4" t="n"/>
    </row>
    <row r="445">
      <c r="A445" s="4" t="inlineStr">
        <is>
          <t>MD-0520</t>
        </is>
      </c>
      <c r="B445" s="21" t="n">
        <v>45976</v>
      </c>
      <c r="C445" s="4" t="inlineStr">
        <is>
          <t>Tetuan</t>
        </is>
      </c>
      <c r="D445" s="4" t="n">
        <v>189</v>
      </c>
      <c r="E445" s="4" t="inlineStr">
        <is>
          <t>reformado</t>
        </is>
      </c>
      <c r="F445" s="22" t="n">
        <v>820000</v>
      </c>
      <c r="G445" s="23" t="n">
        <v>4338.62</v>
      </c>
      <c r="H445" s="22" t="n"/>
      <c r="I445" s="23" t="n"/>
      <c r="J445" s="18" t="n"/>
      <c r="K445" s="24" t="n"/>
      <c r="L445" s="4" t="n">
        <v>1</v>
      </c>
      <c r="M445" s="4" t="inlineStr">
        <is>
          <t>sin muestra</t>
        </is>
      </c>
      <c r="N445" s="4" t="inlineStr">
        <is>
          <t>no valorable</t>
        </is>
      </c>
      <c r="O445" s="4" t="inlineStr">
        <is>
          <t>segmento con pocas operaciones comparables</t>
        </is>
      </c>
    </row>
    <row r="446">
      <c r="A446" s="4" t="inlineStr">
        <is>
          <t>MD-1394</t>
        </is>
      </c>
      <c r="B446" s="21" t="n">
        <v>45976</v>
      </c>
      <c r="C446" s="4" t="inlineStr">
        <is>
          <t>Tetuan</t>
        </is>
      </c>
      <c r="D446" s="4" t="n">
        <v>28</v>
      </c>
      <c r="E446" s="4" t="inlineStr">
        <is>
          <t>a reformar</t>
        </is>
      </c>
      <c r="F446" s="22" t="n">
        <v>119000</v>
      </c>
      <c r="G446" s="23" t="n">
        <v>4250</v>
      </c>
      <c r="H446" s="22" t="n"/>
      <c r="I446" s="23" t="n"/>
      <c r="J446" s="18" t="n"/>
      <c r="K446" s="24" t="n"/>
      <c r="L446" s="4" t="n">
        <v>1</v>
      </c>
      <c r="M446" s="4" t="inlineStr">
        <is>
          <t>sin muestra</t>
        </is>
      </c>
      <c r="N446" s="4" t="inlineStr">
        <is>
          <t>no valorable</t>
        </is>
      </c>
      <c r="O446" s="4" t="inlineStr">
        <is>
          <t>segmento con pocas operaciones comparables</t>
        </is>
      </c>
    </row>
    <row r="447">
      <c r="A447" s="4" t="inlineStr">
        <is>
          <t>MD-1908</t>
        </is>
      </c>
      <c r="B447" s="21" t="n">
        <v>45977</v>
      </c>
      <c r="C447" s="4" t="inlineStr">
        <is>
          <t>Hortaleza</t>
        </is>
      </c>
      <c r="D447" s="4" t="n">
        <v>176</v>
      </c>
      <c r="E447" s="4" t="inlineStr">
        <is>
          <t>buen estado</t>
        </is>
      </c>
      <c r="F447" s="22" t="n">
        <v>1081000</v>
      </c>
      <c r="G447" s="23" t="n">
        <v>6142.05</v>
      </c>
      <c r="H447" s="22" t="n">
        <v>925344</v>
      </c>
      <c r="I447" s="23" t="n">
        <v>5257.63</v>
      </c>
      <c r="J447" s="18" t="n">
        <v>0.1682</v>
      </c>
      <c r="K447" s="24" t="n">
        <v>7.9</v>
      </c>
      <c r="L447" s="4" t="n">
        <v>6</v>
      </c>
      <c r="M447" s="4" t="inlineStr">
        <is>
          <t>baja</t>
        </is>
      </c>
      <c r="N447" s="4" t="inlineStr">
        <is>
          <t>por encima de comparables</t>
        </is>
      </c>
      <c r="O447" s="4" t="n"/>
    </row>
    <row r="448">
      <c r="A448" s="4" t="inlineStr">
        <is>
          <t>MD-1986</t>
        </is>
      </c>
      <c r="B448" s="21" t="n">
        <v>45977</v>
      </c>
      <c r="C448" s="4" t="inlineStr">
        <is>
          <t>Hortaleza</t>
        </is>
      </c>
      <c r="D448" s="4" t="n">
        <v>110</v>
      </c>
      <c r="E448" s="4" t="inlineStr">
        <is>
          <t>buen estado</t>
        </is>
      </c>
      <c r="F448" s="22" t="n">
        <v>650000</v>
      </c>
      <c r="G448" s="23" t="n">
        <v>5909.09</v>
      </c>
      <c r="H448" s="22" t="n">
        <v>606331</v>
      </c>
      <c r="I448" s="23" t="n">
        <v>5512.1</v>
      </c>
      <c r="J448" s="18" t="n">
        <v>0.07199999999999999</v>
      </c>
      <c r="K448" s="24" t="n">
        <v>32</v>
      </c>
      <c r="L448" s="4" t="n">
        <v>6</v>
      </c>
      <c r="M448" s="4" t="inlineStr">
        <is>
          <t>baja</t>
        </is>
      </c>
      <c r="N448" s="4" t="inlineStr">
        <is>
          <t>en linea con comparables</t>
        </is>
      </c>
      <c r="O448" s="4" t="n"/>
    </row>
    <row r="449">
      <c r="A449" s="4" t="inlineStr">
        <is>
          <t>MD-1324</t>
        </is>
      </c>
      <c r="B449" s="21" t="n">
        <v>45977</v>
      </c>
      <c r="C449" s="4" t="inlineStr">
        <is>
          <t>Ciudad Lineal</t>
        </is>
      </c>
      <c r="D449" s="4" t="n">
        <v>48</v>
      </c>
      <c r="E449" s="4" t="inlineStr">
        <is>
          <t>a reformar</t>
        </is>
      </c>
      <c r="F449" s="22" t="n">
        <v>209000</v>
      </c>
      <c r="G449" s="23" t="n">
        <v>4354.17</v>
      </c>
      <c r="H449" s="22" t="n"/>
      <c r="I449" s="23" t="n"/>
      <c r="J449" s="18" t="n"/>
      <c r="K449" s="24" t="n"/>
      <c r="L449" s="4" t="n">
        <v>4</v>
      </c>
      <c r="M449" s="4" t="inlineStr">
        <is>
          <t>sin muestra</t>
        </is>
      </c>
      <c r="N449" s="4" t="inlineStr">
        <is>
          <t>no valorable</t>
        </is>
      </c>
      <c r="O449" s="4" t="inlineStr">
        <is>
          <t>segmento con pocas operaciones comparables</t>
        </is>
      </c>
    </row>
    <row r="450">
      <c r="A450" s="4" t="inlineStr">
        <is>
          <t>MD-1425</t>
        </is>
      </c>
      <c r="B450" s="21" t="n">
        <v>45977</v>
      </c>
      <c r="C450" s="4" t="inlineStr">
        <is>
          <t>Tetuan</t>
        </is>
      </c>
      <c r="D450" s="4" t="n">
        <v>59</v>
      </c>
      <c r="E450" s="4" t="inlineStr">
        <is>
          <t>buen estado</t>
        </is>
      </c>
      <c r="F450" s="22" t="n">
        <v>295000</v>
      </c>
      <c r="G450" s="23" t="n">
        <v>5000</v>
      </c>
      <c r="H450" s="22" t="n">
        <v>297822</v>
      </c>
      <c r="I450" s="23" t="n">
        <v>5047.83</v>
      </c>
      <c r="J450" s="18" t="n">
        <v>-0.0095</v>
      </c>
      <c r="K450" s="24" t="n">
        <v>52.4</v>
      </c>
      <c r="L450" s="4" t="n">
        <v>7</v>
      </c>
      <c r="M450" s="4" t="inlineStr">
        <is>
          <t>baja</t>
        </is>
      </c>
      <c r="N450" s="4" t="inlineStr">
        <is>
          <t>en linea con comparables</t>
        </is>
      </c>
      <c r="O450" s="4" t="n"/>
    </row>
    <row r="451">
      <c r="A451" s="4" t="inlineStr">
        <is>
          <t>MD-0818</t>
        </is>
      </c>
      <c r="B451" s="21" t="n">
        <v>45977</v>
      </c>
      <c r="C451" s="4" t="inlineStr">
        <is>
          <t>Fuencarral-El Pardo</t>
        </is>
      </c>
      <c r="D451" s="4" t="n">
        <v>138</v>
      </c>
      <c r="E451" s="4" t="inlineStr">
        <is>
          <t>a reformar</t>
        </is>
      </c>
      <c r="F451" s="22" t="n">
        <v>548000</v>
      </c>
      <c r="G451" s="23" t="n">
        <v>3971.01</v>
      </c>
      <c r="H451" s="22" t="n">
        <v>653208</v>
      </c>
      <c r="I451" s="23" t="n">
        <v>4733.39</v>
      </c>
      <c r="J451" s="18" t="n">
        <v>-0.1611</v>
      </c>
      <c r="K451" s="24" t="n">
        <v>90.3</v>
      </c>
      <c r="L451" s="4" t="n">
        <v>7</v>
      </c>
      <c r="M451" s="4" t="inlineStr">
        <is>
          <t>baja</t>
        </is>
      </c>
      <c r="N451" s="4" t="inlineStr">
        <is>
          <t>por debajo de comparables</t>
        </is>
      </c>
      <c r="O451" s="4" t="n"/>
    </row>
    <row r="452">
      <c r="A452" s="4" t="inlineStr">
        <is>
          <t>MD-1520</t>
        </is>
      </c>
      <c r="B452" s="21" t="n">
        <v>45978</v>
      </c>
      <c r="C452" s="4" t="inlineStr">
        <is>
          <t>Chamberi</t>
        </is>
      </c>
      <c r="D452" s="4" t="n">
        <v>88</v>
      </c>
      <c r="E452" s="4" t="inlineStr">
        <is>
          <t>buen estado</t>
        </is>
      </c>
      <c r="F452" s="22" t="n">
        <v>700000</v>
      </c>
      <c r="G452" s="23" t="n">
        <v>7954.55</v>
      </c>
      <c r="H452" s="22" t="n">
        <v>776921</v>
      </c>
      <c r="I452" s="23" t="n">
        <v>8828.639999999999</v>
      </c>
      <c r="J452" s="18" t="n">
        <v>-0.099</v>
      </c>
      <c r="K452" s="24" t="n">
        <v>74.8</v>
      </c>
      <c r="L452" s="4" t="n">
        <v>8</v>
      </c>
      <c r="M452" s="4" t="inlineStr">
        <is>
          <t>media</t>
        </is>
      </c>
      <c r="N452" s="4" t="inlineStr">
        <is>
          <t>en linea con comparables</t>
        </is>
      </c>
      <c r="O452" s="4" t="n"/>
    </row>
    <row r="453">
      <c r="A453" s="4" t="inlineStr">
        <is>
          <t>MD-1510</t>
        </is>
      </c>
      <c r="B453" s="21" t="n">
        <v>45978</v>
      </c>
      <c r="C453" s="4" t="inlineStr">
        <is>
          <t>Moncloa-Aravaca</t>
        </is>
      </c>
      <c r="D453" s="4" t="n">
        <v>81</v>
      </c>
      <c r="E453" s="4" t="inlineStr">
        <is>
          <t>buen estado</t>
        </is>
      </c>
      <c r="F453" s="22" t="n">
        <v>578000</v>
      </c>
      <c r="G453" s="23" t="n">
        <v>7135.8</v>
      </c>
      <c r="H453" s="22" t="n"/>
      <c r="I453" s="23" t="n"/>
      <c r="J453" s="18" t="n"/>
      <c r="K453" s="24" t="n"/>
      <c r="L453" s="4" t="n">
        <v>1</v>
      </c>
      <c r="M453" s="4" t="inlineStr">
        <is>
          <t>sin muestra</t>
        </is>
      </c>
      <c r="N453" s="4" t="inlineStr">
        <is>
          <t>no valorable</t>
        </is>
      </c>
      <c r="O453" s="4" t="inlineStr">
        <is>
          <t>segmento con pocas operaciones comparables</t>
        </is>
      </c>
    </row>
    <row r="454">
      <c r="A454" s="4" t="inlineStr">
        <is>
          <t>MD-1983</t>
        </is>
      </c>
      <c r="B454" s="21" t="n">
        <v>45978</v>
      </c>
      <c r="C454" s="4" t="inlineStr">
        <is>
          <t>Chamartin</t>
        </is>
      </c>
      <c r="D454" s="4" t="n">
        <v>34</v>
      </c>
      <c r="E454" s="4" t="inlineStr">
        <is>
          <t>buen estado</t>
        </is>
      </c>
      <c r="F454" s="22" t="n">
        <v>193000</v>
      </c>
      <c r="G454" s="23" t="n">
        <v>5676.47</v>
      </c>
      <c r="H454" s="22" t="n"/>
      <c r="I454" s="23" t="n"/>
      <c r="J454" s="18" t="n"/>
      <c r="K454" s="24" t="n"/>
      <c r="L454" s="4" t="n">
        <v>3</v>
      </c>
      <c r="M454" s="4" t="inlineStr">
        <is>
          <t>sin muestra</t>
        </is>
      </c>
      <c r="N454" s="4" t="inlineStr">
        <is>
          <t>no valorable</t>
        </is>
      </c>
      <c r="O454" s="4" t="inlineStr">
        <is>
          <t>segmento con pocas operaciones comparables</t>
        </is>
      </c>
    </row>
    <row r="455">
      <c r="A455" s="4" t="inlineStr">
        <is>
          <t>MD-0184</t>
        </is>
      </c>
      <c r="B455" s="21" t="n">
        <v>45978</v>
      </c>
      <c r="C455" s="4" t="inlineStr">
        <is>
          <t>Chamartin</t>
        </is>
      </c>
      <c r="D455" s="4" t="n">
        <v>176</v>
      </c>
      <c r="E455" s="4" t="inlineStr">
        <is>
          <t>buen estado</t>
        </is>
      </c>
      <c r="F455" s="22" t="n">
        <v>1727000</v>
      </c>
      <c r="G455" s="23" t="n">
        <v>9812.5</v>
      </c>
      <c r="H455" s="22" t="n">
        <v>1523360</v>
      </c>
      <c r="I455" s="23" t="n">
        <v>8655.450000000001</v>
      </c>
      <c r="J455" s="18" t="n">
        <v>0.1337</v>
      </c>
      <c r="K455" s="24" t="n">
        <v>16.6</v>
      </c>
      <c r="L455" s="4" t="n">
        <v>10</v>
      </c>
      <c r="M455" s="4" t="inlineStr">
        <is>
          <t>media</t>
        </is>
      </c>
      <c r="N455" s="4" t="inlineStr">
        <is>
          <t>por encima de comparables</t>
        </is>
      </c>
      <c r="O455" s="4" t="n"/>
    </row>
    <row r="456">
      <c r="A456" s="4" t="inlineStr">
        <is>
          <t>MD-0001</t>
        </is>
      </c>
      <c r="B456" s="21" t="n">
        <v>45978</v>
      </c>
      <c r="C456" s="4" t="inlineStr">
        <is>
          <t>Villaverde</t>
        </is>
      </c>
      <c r="D456" s="4" t="n">
        <v>96</v>
      </c>
      <c r="E456" s="4" t="inlineStr">
        <is>
          <t>reformado</t>
        </is>
      </c>
      <c r="F456" s="22" t="n">
        <v>227000</v>
      </c>
      <c r="G456" s="23" t="n">
        <v>2364.58</v>
      </c>
      <c r="H456" s="22" t="n"/>
      <c r="I456" s="23" t="n"/>
      <c r="J456" s="18" t="n"/>
      <c r="K456" s="24" t="n"/>
      <c r="L456" s="4" t="n">
        <v>0</v>
      </c>
      <c r="M456" s="4" t="inlineStr">
        <is>
          <t>sin muestra</t>
        </is>
      </c>
      <c r="N456" s="4" t="inlineStr">
        <is>
          <t>no valorable</t>
        </is>
      </c>
      <c r="O456" s="4" t="inlineStr">
        <is>
          <t>segmento con pocas operaciones comparables</t>
        </is>
      </c>
    </row>
    <row r="457">
      <c r="A457" s="4" t="inlineStr">
        <is>
          <t>MD-1704</t>
        </is>
      </c>
      <c r="B457" s="21" t="n">
        <v>45978</v>
      </c>
      <c r="C457" s="4" t="inlineStr">
        <is>
          <t>Ciudad Lineal</t>
        </is>
      </c>
      <c r="D457" s="4" t="n">
        <v>65</v>
      </c>
      <c r="E457" s="4" t="inlineStr">
        <is>
          <t>buen estado</t>
        </is>
      </c>
      <c r="F457" s="22" t="n">
        <v>341000</v>
      </c>
      <c r="G457" s="23" t="n">
        <v>5246.15</v>
      </c>
      <c r="H457" s="22" t="n">
        <v>293018</v>
      </c>
      <c r="I457" s="23" t="n">
        <v>4507.97</v>
      </c>
      <c r="J457" s="18" t="n">
        <v>0.1638</v>
      </c>
      <c r="K457" s="24" t="n">
        <v>9.1</v>
      </c>
      <c r="L457" s="4" t="n">
        <v>7</v>
      </c>
      <c r="M457" s="4" t="inlineStr">
        <is>
          <t>baja</t>
        </is>
      </c>
      <c r="N457" s="4" t="inlineStr">
        <is>
          <t>por encima de comparables</t>
        </is>
      </c>
      <c r="O457" s="4" t="n"/>
    </row>
    <row r="458">
      <c r="A458" s="4" t="inlineStr">
        <is>
          <t>MD-1546</t>
        </is>
      </c>
      <c r="B458" s="21" t="n">
        <v>45979</v>
      </c>
      <c r="C458" s="4" t="inlineStr">
        <is>
          <t>Arganzuela</t>
        </is>
      </c>
      <c r="D458" s="4" t="n">
        <v>128</v>
      </c>
      <c r="E458" s="4" t="inlineStr">
        <is>
          <t>reformado</t>
        </is>
      </c>
      <c r="F458" s="22" t="n">
        <v>887000</v>
      </c>
      <c r="G458" s="23" t="n">
        <v>6929.69</v>
      </c>
      <c r="H458" s="22" t="n">
        <v>853175</v>
      </c>
      <c r="I458" s="23" t="n">
        <v>6665.43</v>
      </c>
      <c r="J458" s="18" t="n">
        <v>0.0396</v>
      </c>
      <c r="K458" s="24" t="n">
        <v>40.1</v>
      </c>
      <c r="L458" s="4" t="n">
        <v>6</v>
      </c>
      <c r="M458" s="4" t="inlineStr">
        <is>
          <t>baja</t>
        </is>
      </c>
      <c r="N458" s="4" t="inlineStr">
        <is>
          <t>en linea con comparables</t>
        </is>
      </c>
      <c r="O458" s="4" t="n"/>
    </row>
    <row r="459">
      <c r="A459" s="4" t="inlineStr">
        <is>
          <t>MD-0016</t>
        </is>
      </c>
      <c r="B459" s="21" t="n">
        <v>45979</v>
      </c>
      <c r="C459" s="4" t="inlineStr">
        <is>
          <t>Chamartin</t>
        </is>
      </c>
      <c r="D459" s="4" t="n">
        <v>34</v>
      </c>
      <c r="E459" s="4" t="inlineStr">
        <is>
          <t>buen estado</t>
        </is>
      </c>
      <c r="F459" s="22" t="n">
        <v>168000</v>
      </c>
      <c r="G459" s="23" t="n">
        <v>4941.18</v>
      </c>
      <c r="H459" s="22" t="n"/>
      <c r="I459" s="23" t="n"/>
      <c r="J459" s="18" t="n"/>
      <c r="K459" s="24" t="n"/>
      <c r="L459" s="4" t="n">
        <v>4</v>
      </c>
      <c r="M459" s="4" t="inlineStr">
        <is>
          <t>sin muestra</t>
        </is>
      </c>
      <c r="N459" s="4" t="inlineStr">
        <is>
          <t>no valorable</t>
        </is>
      </c>
      <c r="O459" s="4" t="inlineStr">
        <is>
          <t>segmento con pocas operaciones comparables</t>
        </is>
      </c>
    </row>
    <row r="460">
      <c r="A460" s="4" t="inlineStr">
        <is>
          <t>MD-1004</t>
        </is>
      </c>
      <c r="B460" s="21" t="n">
        <v>45979</v>
      </c>
      <c r="C460" s="4" t="inlineStr">
        <is>
          <t>San Blas-Canillejas</t>
        </is>
      </c>
      <c r="D460" s="4" t="n">
        <v>76</v>
      </c>
      <c r="E460" s="4" t="inlineStr">
        <is>
          <t>reformado</t>
        </is>
      </c>
      <c r="F460" s="22" t="n">
        <v>283000</v>
      </c>
      <c r="G460" s="23" t="n">
        <v>3723.68</v>
      </c>
      <c r="H460" s="22" t="n">
        <v>325748</v>
      </c>
      <c r="I460" s="23" t="n">
        <v>4286.16</v>
      </c>
      <c r="J460" s="18" t="n">
        <v>-0.1312</v>
      </c>
      <c r="K460" s="24" t="n">
        <v>82.8</v>
      </c>
      <c r="L460" s="4" t="n">
        <v>7</v>
      </c>
      <c r="M460" s="4" t="inlineStr">
        <is>
          <t>baja</t>
        </is>
      </c>
      <c r="N460" s="4" t="inlineStr">
        <is>
          <t>por debajo de comparables</t>
        </is>
      </c>
      <c r="O460" s="4" t="n"/>
    </row>
    <row r="461">
      <c r="A461" s="4" t="inlineStr">
        <is>
          <t>MD-1302</t>
        </is>
      </c>
      <c r="B461" s="21" t="n">
        <v>45979</v>
      </c>
      <c r="C461" s="4" t="inlineStr">
        <is>
          <t>Centro</t>
        </is>
      </c>
      <c r="D461" s="4" t="n">
        <v>137</v>
      </c>
      <c r="E461" s="4" t="inlineStr">
        <is>
          <t>a reformar</t>
        </is>
      </c>
      <c r="F461" s="22" t="n">
        <v>913000</v>
      </c>
      <c r="G461" s="23" t="n">
        <v>6664.23</v>
      </c>
      <c r="H461" s="22" t="n">
        <v>903188</v>
      </c>
      <c r="I461" s="23" t="n">
        <v>6592.61</v>
      </c>
      <c r="J461" s="18" t="n">
        <v>0.0109</v>
      </c>
      <c r="K461" s="24" t="n">
        <v>47.3</v>
      </c>
      <c r="L461" s="4" t="n">
        <v>6</v>
      </c>
      <c r="M461" s="4" t="inlineStr">
        <is>
          <t>baja</t>
        </is>
      </c>
      <c r="N461" s="4" t="inlineStr">
        <is>
          <t>en linea con comparables</t>
        </is>
      </c>
      <c r="O461" s="4" t="n"/>
    </row>
    <row r="462">
      <c r="A462" s="4" t="inlineStr">
        <is>
          <t>MD-1553</t>
        </is>
      </c>
      <c r="B462" s="21" t="n">
        <v>45980</v>
      </c>
      <c r="C462" s="4" t="inlineStr">
        <is>
          <t>Salamanca</t>
        </is>
      </c>
      <c r="D462" s="4" t="n">
        <v>100</v>
      </c>
      <c r="E462" s="4" t="inlineStr">
        <is>
          <t>a reformar</t>
        </is>
      </c>
      <c r="F462" s="22" t="n">
        <v>911000</v>
      </c>
      <c r="G462" s="23" t="n">
        <v>9110</v>
      </c>
      <c r="H462" s="22" t="n"/>
      <c r="I462" s="23" t="n"/>
      <c r="J462" s="18" t="n"/>
      <c r="K462" s="24" t="n"/>
      <c r="L462" s="4" t="n">
        <v>2</v>
      </c>
      <c r="M462" s="4" t="inlineStr">
        <is>
          <t>sin muestra</t>
        </is>
      </c>
      <c r="N462" s="4" t="inlineStr">
        <is>
          <t>no valorable</t>
        </is>
      </c>
      <c r="O462" s="4" t="inlineStr">
        <is>
          <t>segmento con pocas operaciones comparables</t>
        </is>
      </c>
    </row>
    <row r="463">
      <c r="A463" s="4" t="inlineStr">
        <is>
          <t>MD-0219</t>
        </is>
      </c>
      <c r="B463" s="21" t="n">
        <v>45980</v>
      </c>
      <c r="C463" s="4" t="inlineStr">
        <is>
          <t>Chamberi</t>
        </is>
      </c>
      <c r="D463" s="4" t="n">
        <v>54</v>
      </c>
      <c r="E463" s="4" t="inlineStr">
        <is>
          <t>reformado</t>
        </is>
      </c>
      <c r="F463" s="22" t="n">
        <v>465000</v>
      </c>
      <c r="G463" s="23" t="n">
        <v>8611.110000000001</v>
      </c>
      <c r="H463" s="22" t="n">
        <v>518973</v>
      </c>
      <c r="I463" s="23" t="n">
        <v>9610.610000000001</v>
      </c>
      <c r="J463" s="18" t="n">
        <v>-0.104</v>
      </c>
      <c r="K463" s="24" t="n">
        <v>76</v>
      </c>
      <c r="L463" s="4" t="n">
        <v>6</v>
      </c>
      <c r="M463" s="4" t="inlineStr">
        <is>
          <t>baja</t>
        </is>
      </c>
      <c r="N463" s="4" t="inlineStr">
        <is>
          <t>por debajo de comparables</t>
        </is>
      </c>
      <c r="O463" s="4" t="n"/>
    </row>
    <row r="464">
      <c r="A464" s="4" t="inlineStr">
        <is>
          <t>MD-0036</t>
        </is>
      </c>
      <c r="B464" s="21" t="n">
        <v>45980</v>
      </c>
      <c r="C464" s="4" t="inlineStr">
        <is>
          <t>Arganzuela</t>
        </is>
      </c>
      <c r="D464" s="4" t="n">
        <v>71</v>
      </c>
      <c r="E464" s="4" t="inlineStr">
        <is>
          <t>buen estado</t>
        </is>
      </c>
      <c r="F464" s="22" t="n">
        <v>469000</v>
      </c>
      <c r="G464" s="23" t="n">
        <v>6605.63</v>
      </c>
      <c r="H464" s="22" t="n">
        <v>529622</v>
      </c>
      <c r="I464" s="23" t="n">
        <v>7459.46</v>
      </c>
      <c r="J464" s="18" t="n">
        <v>-0.1145</v>
      </c>
      <c r="K464" s="24" t="n">
        <v>78.59999999999999</v>
      </c>
      <c r="L464" s="4" t="n">
        <v>5</v>
      </c>
      <c r="M464" s="4" t="inlineStr">
        <is>
          <t>baja</t>
        </is>
      </c>
      <c r="N464" s="4" t="inlineStr">
        <is>
          <t>por debajo de comparables</t>
        </is>
      </c>
      <c r="O464" s="4" t="n"/>
    </row>
    <row r="465">
      <c r="A465" s="4" t="inlineStr">
        <is>
          <t>MD-0909</t>
        </is>
      </c>
      <c r="B465" s="21" t="n">
        <v>45981</v>
      </c>
      <c r="C465" s="4" t="inlineStr">
        <is>
          <t>Latina</t>
        </is>
      </c>
      <c r="D465" s="4" t="n">
        <v>56</v>
      </c>
      <c r="E465" s="4" t="inlineStr">
        <is>
          <t>obra nueva</t>
        </is>
      </c>
      <c r="F465" s="22" t="n">
        <v>268000</v>
      </c>
      <c r="G465" s="23" t="n">
        <v>4785.71</v>
      </c>
      <c r="H465" s="22" t="n">
        <v>190229</v>
      </c>
      <c r="I465" s="23" t="n">
        <v>3396.94</v>
      </c>
      <c r="J465" s="18" t="n">
        <v>0.4088</v>
      </c>
      <c r="K465" s="24" t="n">
        <v>0</v>
      </c>
      <c r="L465" s="4" t="n">
        <v>12</v>
      </c>
      <c r="M465" s="4" t="inlineStr">
        <is>
          <t>media</t>
        </is>
      </c>
      <c r="N465" s="4" t="inlineStr">
        <is>
          <t>por encima de comparables</t>
        </is>
      </c>
      <c r="O465" s="4" t="n"/>
    </row>
    <row r="466">
      <c r="A466" s="4" t="inlineStr">
        <is>
          <t>MD-0447</t>
        </is>
      </c>
      <c r="B466" s="21" t="n">
        <v>45981</v>
      </c>
      <c r="C466" s="4" t="inlineStr">
        <is>
          <t>Salamanca</t>
        </is>
      </c>
      <c r="D466" s="4" t="n">
        <v>115</v>
      </c>
      <c r="E466" s="4" t="inlineStr">
        <is>
          <t>a reformar</t>
        </is>
      </c>
      <c r="F466" s="22" t="n">
        <v>900000</v>
      </c>
      <c r="G466" s="23" t="n">
        <v>7826.09</v>
      </c>
      <c r="H466" s="22" t="n"/>
      <c r="I466" s="23" t="n"/>
      <c r="J466" s="18" t="n"/>
      <c r="K466" s="24" t="n"/>
      <c r="L466" s="4" t="n">
        <v>2</v>
      </c>
      <c r="M466" s="4" t="inlineStr">
        <is>
          <t>sin muestra</t>
        </is>
      </c>
      <c r="N466" s="4" t="inlineStr">
        <is>
          <t>no valorable</t>
        </is>
      </c>
      <c r="O466" s="4" t="inlineStr">
        <is>
          <t>segmento con pocas operaciones comparables</t>
        </is>
      </c>
    </row>
    <row r="467">
      <c r="A467" s="4" t="inlineStr">
        <is>
          <t>MD-0146</t>
        </is>
      </c>
      <c r="B467" s="21" t="n">
        <v>45981</v>
      </c>
      <c r="C467" s="4" t="inlineStr">
        <is>
          <t>Hortaleza</t>
        </is>
      </c>
      <c r="D467" s="4" t="n">
        <v>175</v>
      </c>
      <c r="E467" s="4" t="inlineStr">
        <is>
          <t>buen estado</t>
        </is>
      </c>
      <c r="F467" s="22" t="n">
        <v>721000</v>
      </c>
      <c r="G467" s="23" t="n">
        <v>4120</v>
      </c>
      <c r="H467" s="22" t="n">
        <v>867146</v>
      </c>
      <c r="I467" s="23" t="n">
        <v>4955.12</v>
      </c>
      <c r="J467" s="18" t="n">
        <v>-0.1685</v>
      </c>
      <c r="K467" s="24" t="n">
        <v>92.09999999999999</v>
      </c>
      <c r="L467" s="4" t="n">
        <v>7</v>
      </c>
      <c r="M467" s="4" t="inlineStr">
        <is>
          <t>baja</t>
        </is>
      </c>
      <c r="N467" s="4" t="inlineStr">
        <is>
          <t>por debajo de comparables</t>
        </is>
      </c>
      <c r="O467" s="4" t="n"/>
    </row>
    <row r="468">
      <c r="A468" s="4" t="inlineStr">
        <is>
          <t>MD-0298</t>
        </is>
      </c>
      <c r="B468" s="21" t="n">
        <v>45982</v>
      </c>
      <c r="C468" s="4" t="inlineStr">
        <is>
          <t>Carabanchel</t>
        </is>
      </c>
      <c r="D468" s="4" t="n">
        <v>31</v>
      </c>
      <c r="E468" s="4" t="inlineStr">
        <is>
          <t>reformado</t>
        </is>
      </c>
      <c r="F468" s="22" t="n">
        <v>111000</v>
      </c>
      <c r="G468" s="23" t="n">
        <v>3580.65</v>
      </c>
      <c r="H468" s="22" t="n"/>
      <c r="I468" s="23" t="n"/>
      <c r="J468" s="18" t="n"/>
      <c r="K468" s="24" t="n"/>
      <c r="L468" s="4" t="n">
        <v>0</v>
      </c>
      <c r="M468" s="4" t="inlineStr">
        <is>
          <t>sin muestra</t>
        </is>
      </c>
      <c r="N468" s="4" t="inlineStr">
        <is>
          <t>no valorable</t>
        </is>
      </c>
      <c r="O468" s="4" t="inlineStr">
        <is>
          <t>segmento con pocas operaciones comparables</t>
        </is>
      </c>
    </row>
    <row r="469">
      <c r="A469" s="4" t="inlineStr">
        <is>
          <t>MD-1382</t>
        </is>
      </c>
      <c r="B469" s="21" t="n">
        <v>45982</v>
      </c>
      <c r="C469" s="4" t="inlineStr">
        <is>
          <t>Carabanchel</t>
        </is>
      </c>
      <c r="D469" s="4" t="n">
        <v>56</v>
      </c>
      <c r="E469" s="4" t="inlineStr">
        <is>
          <t>reformado</t>
        </is>
      </c>
      <c r="F469" s="22" t="n">
        <v>164000</v>
      </c>
      <c r="G469" s="23" t="n">
        <v>2928.57</v>
      </c>
      <c r="H469" s="22" t="n">
        <v>214476</v>
      </c>
      <c r="I469" s="23" t="n">
        <v>3829.94</v>
      </c>
      <c r="J469" s="18" t="n">
        <v>-0.2353</v>
      </c>
      <c r="K469" s="24" t="n">
        <v>100</v>
      </c>
      <c r="L469" s="4" t="n">
        <v>12</v>
      </c>
      <c r="M469" s="4" t="inlineStr">
        <is>
          <t>media</t>
        </is>
      </c>
      <c r="N469" s="4" t="inlineStr">
        <is>
          <t>por debajo de comparables</t>
        </is>
      </c>
      <c r="O469" s="4" t="n"/>
    </row>
    <row r="470">
      <c r="A470" s="4" t="inlineStr">
        <is>
          <t>MD-0405</t>
        </is>
      </c>
      <c r="B470" s="21" t="n">
        <v>45983</v>
      </c>
      <c r="C470" s="4" t="inlineStr">
        <is>
          <t>Chamartin</t>
        </is>
      </c>
      <c r="D470" s="4" t="n">
        <v>81</v>
      </c>
      <c r="E470" s="4" t="inlineStr">
        <is>
          <t>a reformar</t>
        </is>
      </c>
      <c r="F470" s="22" t="n">
        <v>726000</v>
      </c>
      <c r="G470" s="23" t="n">
        <v>8962.959999999999</v>
      </c>
      <c r="H470" s="22" t="n">
        <v>534064</v>
      </c>
      <c r="I470" s="23" t="n">
        <v>6593.39</v>
      </c>
      <c r="J470" s="18" t="n">
        <v>0.3594</v>
      </c>
      <c r="K470" s="24" t="n">
        <v>0</v>
      </c>
      <c r="L470" s="4" t="n">
        <v>6</v>
      </c>
      <c r="M470" s="4" t="inlineStr">
        <is>
          <t>baja</t>
        </is>
      </c>
      <c r="N470" s="4" t="inlineStr">
        <is>
          <t>por encima de comparables</t>
        </is>
      </c>
      <c r="O470" s="4" t="n"/>
    </row>
    <row r="471">
      <c r="A471" s="4" t="inlineStr">
        <is>
          <t>MD-1738</t>
        </is>
      </c>
      <c r="B471" s="21" t="n">
        <v>45983</v>
      </c>
      <c r="C471" s="4" t="inlineStr">
        <is>
          <t>Ciudad Lineal</t>
        </is>
      </c>
      <c r="D471" s="4" t="n">
        <v>64</v>
      </c>
      <c r="E471" s="4" t="inlineStr">
        <is>
          <t>buen estado</t>
        </is>
      </c>
      <c r="F471" s="22" t="n">
        <v>408000</v>
      </c>
      <c r="G471" s="23" t="n">
        <v>6375</v>
      </c>
      <c r="H471" s="22" t="n">
        <v>348533</v>
      </c>
      <c r="I471" s="23" t="n">
        <v>5445.83</v>
      </c>
      <c r="J471" s="18" t="n">
        <v>0.1706</v>
      </c>
      <c r="K471" s="24" t="n">
        <v>7.3</v>
      </c>
      <c r="L471" s="4" t="n">
        <v>8</v>
      </c>
      <c r="M471" s="4" t="inlineStr">
        <is>
          <t>media</t>
        </is>
      </c>
      <c r="N471" s="4" t="inlineStr">
        <is>
          <t>por encima de comparables</t>
        </is>
      </c>
      <c r="O471" s="4" t="n"/>
    </row>
    <row r="472">
      <c r="A472" s="4" t="inlineStr">
        <is>
          <t>MD-0003</t>
        </is>
      </c>
      <c r="B472" s="21" t="n">
        <v>45983</v>
      </c>
      <c r="C472" s="4" t="inlineStr">
        <is>
          <t>Carabanchel</t>
        </is>
      </c>
      <c r="D472" s="4" t="n">
        <v>51</v>
      </c>
      <c r="E472" s="4" t="inlineStr">
        <is>
          <t>buen estado</t>
        </is>
      </c>
      <c r="F472" s="22" t="n">
        <v>168000</v>
      </c>
      <c r="G472" s="23" t="n">
        <v>3294.12</v>
      </c>
      <c r="H472" s="22" t="n">
        <v>169000</v>
      </c>
      <c r="I472" s="23" t="n">
        <v>3313.73</v>
      </c>
      <c r="J472" s="18" t="n">
        <v>-0.0059</v>
      </c>
      <c r="K472" s="24" t="n">
        <v>51.5</v>
      </c>
      <c r="L472" s="4" t="n">
        <v>11</v>
      </c>
      <c r="M472" s="4" t="inlineStr">
        <is>
          <t>media</t>
        </is>
      </c>
      <c r="N472" s="4" t="inlineStr">
        <is>
          <t>en linea con comparables</t>
        </is>
      </c>
      <c r="O472" s="4" t="n"/>
    </row>
    <row r="473">
      <c r="A473" s="4" t="inlineStr">
        <is>
          <t>MD-0229</t>
        </is>
      </c>
      <c r="B473" s="21" t="n">
        <v>45983</v>
      </c>
      <c r="C473" s="4" t="inlineStr">
        <is>
          <t>Villa de Vallecas</t>
        </is>
      </c>
      <c r="D473" s="4" t="n">
        <v>171</v>
      </c>
      <c r="E473" s="4" t="inlineStr">
        <is>
          <t>reformado</t>
        </is>
      </c>
      <c r="F473" s="22" t="n">
        <v>620000</v>
      </c>
      <c r="G473" s="23" t="n">
        <v>3625.73</v>
      </c>
      <c r="H473" s="22" t="n"/>
      <c r="I473" s="23" t="n"/>
      <c r="J473" s="18" t="n"/>
      <c r="K473" s="24" t="n"/>
      <c r="L473" s="4" t="n">
        <v>0</v>
      </c>
      <c r="M473" s="4" t="inlineStr">
        <is>
          <t>sin muestra</t>
        </is>
      </c>
      <c r="N473" s="4" t="inlineStr">
        <is>
          <t>no valorable</t>
        </is>
      </c>
      <c r="O473" s="4" t="inlineStr">
        <is>
          <t>segmento con pocas operaciones comparables</t>
        </is>
      </c>
    </row>
    <row r="474">
      <c r="A474" s="4" t="inlineStr">
        <is>
          <t>MD-0398</t>
        </is>
      </c>
      <c r="B474" s="21" t="n">
        <v>45984</v>
      </c>
      <c r="C474" s="4" t="inlineStr">
        <is>
          <t>Carabanchel</t>
        </is>
      </c>
      <c r="D474" s="4" t="n">
        <v>91</v>
      </c>
      <c r="E474" s="4" t="inlineStr">
        <is>
          <t>reformado</t>
        </is>
      </c>
      <c r="F474" s="22" t="n">
        <v>385000</v>
      </c>
      <c r="G474" s="23" t="n">
        <v>4230.77</v>
      </c>
      <c r="H474" s="22" t="n">
        <v>353407</v>
      </c>
      <c r="I474" s="23" t="n">
        <v>3883.6</v>
      </c>
      <c r="J474" s="18" t="n">
        <v>0.08939999999999999</v>
      </c>
      <c r="K474" s="24" t="n">
        <v>27.7</v>
      </c>
      <c r="L474" s="4" t="n">
        <v>9</v>
      </c>
      <c r="M474" s="4" t="inlineStr">
        <is>
          <t>media</t>
        </is>
      </c>
      <c r="N474" s="4" t="inlineStr">
        <is>
          <t>en linea con comparables</t>
        </is>
      </c>
      <c r="O474" s="4" t="n"/>
    </row>
    <row r="475">
      <c r="A475" s="4" t="inlineStr">
        <is>
          <t>MD-1508</t>
        </is>
      </c>
      <c r="B475" s="21" t="n">
        <v>45984</v>
      </c>
      <c r="C475" s="4" t="inlineStr">
        <is>
          <t>Latina</t>
        </is>
      </c>
      <c r="D475" s="4" t="n">
        <v>78</v>
      </c>
      <c r="E475" s="4" t="inlineStr">
        <is>
          <t>a reformar</t>
        </is>
      </c>
      <c r="F475" s="22" t="n">
        <v>194000</v>
      </c>
      <c r="G475" s="23" t="n">
        <v>2487.18</v>
      </c>
      <c r="H475" s="22" t="n">
        <v>191678</v>
      </c>
      <c r="I475" s="23" t="n">
        <v>2457.41</v>
      </c>
      <c r="J475" s="18" t="n">
        <v>0.0121</v>
      </c>
      <c r="K475" s="24" t="n">
        <v>47</v>
      </c>
      <c r="L475" s="4" t="n">
        <v>20</v>
      </c>
      <c r="M475" s="4" t="inlineStr">
        <is>
          <t>media</t>
        </is>
      </c>
      <c r="N475" s="4" t="inlineStr">
        <is>
          <t>en linea con comparables</t>
        </is>
      </c>
      <c r="O475" s="4" t="n"/>
    </row>
    <row r="476">
      <c r="A476" s="4" t="inlineStr">
        <is>
          <t>MD-1287</t>
        </is>
      </c>
      <c r="B476" s="21" t="n">
        <v>45984</v>
      </c>
      <c r="C476" s="4" t="inlineStr">
        <is>
          <t>Puente de Vallecas</t>
        </is>
      </c>
      <c r="D476" s="4" t="n">
        <v>58</v>
      </c>
      <c r="E476" s="4" t="inlineStr">
        <is>
          <t>obra nueva</t>
        </is>
      </c>
      <c r="F476" s="22" t="n">
        <v>184000</v>
      </c>
      <c r="G476" s="23" t="n">
        <v>3172.41</v>
      </c>
      <c r="H476" s="22" t="n">
        <v>157961</v>
      </c>
      <c r="I476" s="23" t="n">
        <v>2723.47</v>
      </c>
      <c r="J476" s="18" t="n">
        <v>0.1648</v>
      </c>
      <c r="K476" s="24" t="n">
        <v>8.800000000000001</v>
      </c>
      <c r="L476" s="4" t="n">
        <v>17</v>
      </c>
      <c r="M476" s="4" t="inlineStr">
        <is>
          <t>alta</t>
        </is>
      </c>
      <c r="N476" s="4" t="inlineStr">
        <is>
          <t>por encima de comparables</t>
        </is>
      </c>
      <c r="O476" s="4" t="n"/>
    </row>
    <row r="477">
      <c r="A477" s="4" t="inlineStr">
        <is>
          <t>MD-1044</t>
        </is>
      </c>
      <c r="B477" s="21" t="n">
        <v>45984</v>
      </c>
      <c r="C477" s="4" t="inlineStr">
        <is>
          <t>Chamartin</t>
        </is>
      </c>
      <c r="D477" s="4" t="n">
        <v>72</v>
      </c>
      <c r="E477" s="4" t="inlineStr">
        <is>
          <t>a reformar</t>
        </is>
      </c>
      <c r="F477" s="22" t="n">
        <v>631000</v>
      </c>
      <c r="G477" s="23" t="n">
        <v>8763.889999999999</v>
      </c>
      <c r="H477" s="22" t="n">
        <v>485275</v>
      </c>
      <c r="I477" s="23" t="n">
        <v>6739.93</v>
      </c>
      <c r="J477" s="18" t="n">
        <v>0.3003</v>
      </c>
      <c r="K477" s="24" t="n">
        <v>0</v>
      </c>
      <c r="L477" s="4" t="n">
        <v>9</v>
      </c>
      <c r="M477" s="4" t="inlineStr">
        <is>
          <t>media</t>
        </is>
      </c>
      <c r="N477" s="4" t="inlineStr">
        <is>
          <t>por encima de comparables</t>
        </is>
      </c>
      <c r="O477" s="4" t="n"/>
    </row>
    <row r="478">
      <c r="A478" s="4" t="inlineStr">
        <is>
          <t>MD-0566</t>
        </is>
      </c>
      <c r="B478" s="21" t="n">
        <v>45985</v>
      </c>
      <c r="C478" s="4" t="inlineStr">
        <is>
          <t>Puente de Vallecas</t>
        </is>
      </c>
      <c r="D478" s="4" t="n">
        <v>33</v>
      </c>
      <c r="E478" s="4" t="inlineStr">
        <is>
          <t>buen estado</t>
        </is>
      </c>
      <c r="F478" s="22" t="n">
        <v>102000</v>
      </c>
      <c r="G478" s="23" t="n">
        <v>3090.91</v>
      </c>
      <c r="H478" s="22" t="n"/>
      <c r="I478" s="23" t="n"/>
      <c r="J478" s="18" t="n"/>
      <c r="K478" s="24" t="n"/>
      <c r="L478" s="4" t="n">
        <v>2</v>
      </c>
      <c r="M478" s="4" t="inlineStr">
        <is>
          <t>sin muestra</t>
        </is>
      </c>
      <c r="N478" s="4" t="inlineStr">
        <is>
          <t>no valorable</t>
        </is>
      </c>
      <c r="O478" s="4" t="inlineStr">
        <is>
          <t>segmento con pocas operaciones comparables</t>
        </is>
      </c>
    </row>
    <row r="479">
      <c r="A479" s="4" t="inlineStr">
        <is>
          <t>MD-0844</t>
        </is>
      </c>
      <c r="B479" s="21" t="n">
        <v>45985</v>
      </c>
      <c r="C479" s="4" t="inlineStr">
        <is>
          <t>Vicalvaro</t>
        </is>
      </c>
      <c r="D479" s="4" t="n">
        <v>60</v>
      </c>
      <c r="E479" s="4" t="inlineStr">
        <is>
          <t>buen estado</t>
        </is>
      </c>
      <c r="F479" s="22" t="n">
        <v>235000</v>
      </c>
      <c r="G479" s="23" t="n">
        <v>3916.67</v>
      </c>
      <c r="H479" s="22" t="n">
        <v>178418</v>
      </c>
      <c r="I479" s="23" t="n">
        <v>2973.63</v>
      </c>
      <c r="J479" s="18" t="n">
        <v>0.3171</v>
      </c>
      <c r="K479" s="24" t="n">
        <v>0</v>
      </c>
      <c r="L479" s="4" t="n">
        <v>5</v>
      </c>
      <c r="M479" s="4" t="inlineStr">
        <is>
          <t>baja</t>
        </is>
      </c>
      <c r="N479" s="4" t="inlineStr">
        <is>
          <t>por encima de comparables</t>
        </is>
      </c>
      <c r="O479" s="4" t="n"/>
    </row>
    <row r="480">
      <c r="A480" s="4" t="inlineStr">
        <is>
          <t>MD-1564</t>
        </is>
      </c>
      <c r="B480" s="21" t="n">
        <v>45985</v>
      </c>
      <c r="C480" s="4" t="inlineStr">
        <is>
          <t>Tetuan</t>
        </is>
      </c>
      <c r="D480" s="4" t="n">
        <v>41</v>
      </c>
      <c r="E480" s="4" t="inlineStr">
        <is>
          <t>buen estado</t>
        </is>
      </c>
      <c r="F480" s="22" t="n">
        <v>249000</v>
      </c>
      <c r="G480" s="23" t="n">
        <v>6073.17</v>
      </c>
      <c r="H480" s="22" t="n">
        <v>195365</v>
      </c>
      <c r="I480" s="23" t="n">
        <v>4765</v>
      </c>
      <c r="J480" s="18" t="n">
        <v>0.2745</v>
      </c>
      <c r="K480" s="24" t="n">
        <v>0</v>
      </c>
      <c r="L480" s="4" t="n">
        <v>7</v>
      </c>
      <c r="M480" s="4" t="inlineStr">
        <is>
          <t>baja</t>
        </is>
      </c>
      <c r="N480" s="4" t="inlineStr">
        <is>
          <t>por encima de comparables</t>
        </is>
      </c>
      <c r="O480" s="4" t="n"/>
    </row>
    <row r="481">
      <c r="A481" s="4" t="inlineStr">
        <is>
          <t>MD-0697</t>
        </is>
      </c>
      <c r="B481" s="21" t="n">
        <v>45985</v>
      </c>
      <c r="C481" s="4" t="inlineStr">
        <is>
          <t>Chamberi</t>
        </is>
      </c>
      <c r="D481" s="4" t="n">
        <v>72</v>
      </c>
      <c r="E481" s="4" t="inlineStr">
        <is>
          <t>buen estado</t>
        </is>
      </c>
      <c r="F481" s="22" t="n">
        <v>596000</v>
      </c>
      <c r="G481" s="23" t="n">
        <v>8277.780000000001</v>
      </c>
      <c r="H481" s="22" t="n">
        <v>618162</v>
      </c>
      <c r="I481" s="23" t="n">
        <v>8585.59</v>
      </c>
      <c r="J481" s="18" t="n">
        <v>-0.0359</v>
      </c>
      <c r="K481" s="24" t="n">
        <v>59</v>
      </c>
      <c r="L481" s="4" t="n">
        <v>7</v>
      </c>
      <c r="M481" s="4" t="inlineStr">
        <is>
          <t>baja</t>
        </is>
      </c>
      <c r="N481" s="4" t="inlineStr">
        <is>
          <t>en linea con comparables</t>
        </is>
      </c>
      <c r="O481" s="4" t="n"/>
    </row>
    <row r="482">
      <c r="A482" s="4" t="inlineStr">
        <is>
          <t>MD-1177</t>
        </is>
      </c>
      <c r="B482" s="21" t="n">
        <v>45985</v>
      </c>
      <c r="C482" s="4" t="inlineStr">
        <is>
          <t>Puente de Vallecas</t>
        </is>
      </c>
      <c r="D482" s="4" t="n">
        <v>40</v>
      </c>
      <c r="E482" s="4" t="inlineStr">
        <is>
          <t>buen estado</t>
        </is>
      </c>
      <c r="F482" s="22" t="n">
        <v>112000</v>
      </c>
      <c r="G482" s="23" t="n">
        <v>2800</v>
      </c>
      <c r="H482" s="22" t="n">
        <v>109714</v>
      </c>
      <c r="I482" s="23" t="n">
        <v>2742.86</v>
      </c>
      <c r="J482" s="18" t="n">
        <v>0.0208</v>
      </c>
      <c r="K482" s="24" t="n">
        <v>44.8</v>
      </c>
      <c r="L482" s="4" t="n">
        <v>7</v>
      </c>
      <c r="M482" s="4" t="inlineStr">
        <is>
          <t>baja</t>
        </is>
      </c>
      <c r="N482" s="4" t="inlineStr">
        <is>
          <t>en linea con comparables</t>
        </is>
      </c>
      <c r="O482" s="4" t="n"/>
    </row>
    <row r="483">
      <c r="A483" s="4" t="inlineStr">
        <is>
          <t>MD-1650</t>
        </is>
      </c>
      <c r="B483" s="21" t="n">
        <v>45985</v>
      </c>
      <c r="C483" s="4" t="inlineStr">
        <is>
          <t>Tetuan</t>
        </is>
      </c>
      <c r="D483" s="4" t="n">
        <v>189</v>
      </c>
      <c r="E483" s="4" t="inlineStr">
        <is>
          <t>a reformar</t>
        </is>
      </c>
      <c r="F483" s="22" t="n">
        <v>993000</v>
      </c>
      <c r="G483" s="23" t="n">
        <v>5253.97</v>
      </c>
      <c r="H483" s="22" t="n"/>
      <c r="I483" s="23" t="n"/>
      <c r="J483" s="18" t="n"/>
      <c r="K483" s="24" t="n"/>
      <c r="L483" s="4" t="n">
        <v>2</v>
      </c>
      <c r="M483" s="4" t="inlineStr">
        <is>
          <t>sin muestra</t>
        </is>
      </c>
      <c r="N483" s="4" t="inlineStr">
        <is>
          <t>no valorable</t>
        </is>
      </c>
      <c r="O483" s="4" t="inlineStr">
        <is>
          <t>segmento con pocas operaciones comparables</t>
        </is>
      </c>
    </row>
    <row r="484">
      <c r="A484" s="4" t="inlineStr">
        <is>
          <t>MD-1434</t>
        </is>
      </c>
      <c r="B484" s="21" t="n">
        <v>45985</v>
      </c>
      <c r="C484" s="4" t="inlineStr">
        <is>
          <t>Arganzuela</t>
        </is>
      </c>
      <c r="D484" s="4" t="n">
        <v>76</v>
      </c>
      <c r="E484" s="4" t="inlineStr">
        <is>
          <t>reformado</t>
        </is>
      </c>
      <c r="F484" s="22" t="n">
        <v>427000</v>
      </c>
      <c r="G484" s="23" t="n">
        <v>5618.42</v>
      </c>
      <c r="H484" s="22" t="n">
        <v>479985</v>
      </c>
      <c r="I484" s="23" t="n">
        <v>6315.59</v>
      </c>
      <c r="J484" s="18" t="n">
        <v>-0.1104</v>
      </c>
      <c r="K484" s="24" t="n">
        <v>77.59999999999999</v>
      </c>
      <c r="L484" s="4" t="n">
        <v>6</v>
      </c>
      <c r="M484" s="4" t="inlineStr">
        <is>
          <t>baja</t>
        </is>
      </c>
      <c r="N484" s="4" t="inlineStr">
        <is>
          <t>por debajo de comparables</t>
        </is>
      </c>
      <c r="O484" s="4" t="n"/>
    </row>
    <row r="485">
      <c r="A485" s="4" t="inlineStr">
        <is>
          <t>MD-1612</t>
        </is>
      </c>
      <c r="B485" s="21" t="n">
        <v>45985</v>
      </c>
      <c r="C485" s="4" t="inlineStr">
        <is>
          <t>Arganzuela</t>
        </is>
      </c>
      <c r="D485" s="4" t="n">
        <v>61</v>
      </c>
      <c r="E485" s="4" t="inlineStr">
        <is>
          <t>obra nueva</t>
        </is>
      </c>
      <c r="F485" s="22" t="n">
        <v>382000</v>
      </c>
      <c r="G485" s="23" t="n">
        <v>6262.3</v>
      </c>
      <c r="H485" s="22" t="n">
        <v>443851</v>
      </c>
      <c r="I485" s="23" t="n">
        <v>7276.24</v>
      </c>
      <c r="J485" s="18" t="n">
        <v>-0.1394</v>
      </c>
      <c r="K485" s="24" t="n">
        <v>84.8</v>
      </c>
      <c r="L485" s="4" t="n">
        <v>5</v>
      </c>
      <c r="M485" s="4" t="inlineStr">
        <is>
          <t>baja</t>
        </is>
      </c>
      <c r="N485" s="4" t="inlineStr">
        <is>
          <t>por debajo de comparables</t>
        </is>
      </c>
      <c r="O485" s="4" t="n"/>
    </row>
    <row r="486">
      <c r="A486" s="4" t="inlineStr">
        <is>
          <t>MD-0685</t>
        </is>
      </c>
      <c r="B486" s="21" t="n">
        <v>45985</v>
      </c>
      <c r="C486" s="4" t="inlineStr">
        <is>
          <t>Tetuan</t>
        </is>
      </c>
      <c r="D486" s="4" t="n">
        <v>68</v>
      </c>
      <c r="E486" s="4" t="inlineStr">
        <is>
          <t>buen estado</t>
        </is>
      </c>
      <c r="F486" s="22" t="n">
        <v>359000</v>
      </c>
      <c r="G486" s="23" t="n">
        <v>5279.41</v>
      </c>
      <c r="H486" s="22" t="n">
        <v>296827</v>
      </c>
      <c r="I486" s="23" t="n">
        <v>4365.11</v>
      </c>
      <c r="J486" s="18" t="n">
        <v>0.2095</v>
      </c>
      <c r="K486" s="24" t="n">
        <v>0</v>
      </c>
      <c r="L486" s="4" t="n">
        <v>10</v>
      </c>
      <c r="M486" s="4" t="inlineStr">
        <is>
          <t>media</t>
        </is>
      </c>
      <c r="N486" s="4" t="inlineStr">
        <is>
          <t>por encima de comparables</t>
        </is>
      </c>
      <c r="O486" s="4" t="n"/>
    </row>
    <row r="487">
      <c r="A487" s="4" t="inlineStr">
        <is>
          <t>MD-1776</t>
        </is>
      </c>
      <c r="B487" s="21" t="n">
        <v>45986</v>
      </c>
      <c r="C487" s="4" t="inlineStr">
        <is>
          <t>Villa de Vallecas</t>
        </is>
      </c>
      <c r="D487" s="4" t="n">
        <v>66</v>
      </c>
      <c r="E487" s="4" t="inlineStr">
        <is>
          <t>buen estado</t>
        </is>
      </c>
      <c r="F487" s="22" t="n">
        <v>252000</v>
      </c>
      <c r="G487" s="23" t="n">
        <v>3818.18</v>
      </c>
      <c r="H487" s="22" t="n">
        <v>236682</v>
      </c>
      <c r="I487" s="23" t="n">
        <v>3586.1</v>
      </c>
      <c r="J487" s="18" t="n">
        <v>0.06469999999999999</v>
      </c>
      <c r="K487" s="24" t="n">
        <v>33.8</v>
      </c>
      <c r="L487" s="4" t="n">
        <v>8</v>
      </c>
      <c r="M487" s="4" t="inlineStr">
        <is>
          <t>media</t>
        </is>
      </c>
      <c r="N487" s="4" t="inlineStr">
        <is>
          <t>en linea con comparables</t>
        </is>
      </c>
      <c r="O487" s="4" t="n"/>
    </row>
    <row r="488">
      <c r="A488" s="4" t="inlineStr">
        <is>
          <t>MD-0050</t>
        </is>
      </c>
      <c r="B488" s="21" t="n">
        <v>45986</v>
      </c>
      <c r="C488" s="4" t="inlineStr">
        <is>
          <t>Arganzuela</t>
        </is>
      </c>
      <c r="D488" s="4" t="n">
        <v>190</v>
      </c>
      <c r="E488" s="4" t="inlineStr">
        <is>
          <t>a reformar</t>
        </is>
      </c>
      <c r="F488" s="22" t="n">
        <v>909000</v>
      </c>
      <c r="G488" s="23" t="n">
        <v>4784.21</v>
      </c>
      <c r="H488" s="22" t="n"/>
      <c r="I488" s="23" t="n"/>
      <c r="J488" s="18" t="n"/>
      <c r="K488" s="24" t="n"/>
      <c r="L488" s="4" t="n">
        <v>2</v>
      </c>
      <c r="M488" s="4" t="inlineStr">
        <is>
          <t>sin muestra</t>
        </is>
      </c>
      <c r="N488" s="4" t="inlineStr">
        <is>
          <t>no valorable</t>
        </is>
      </c>
      <c r="O488" s="4" t="inlineStr">
        <is>
          <t>segmento con pocas operaciones comparables</t>
        </is>
      </c>
    </row>
    <row r="489">
      <c r="A489" s="4" t="inlineStr">
        <is>
          <t>MD-1575</t>
        </is>
      </c>
      <c r="B489" s="21" t="n">
        <v>45986</v>
      </c>
      <c r="C489" s="4" t="inlineStr">
        <is>
          <t>Barajas</t>
        </is>
      </c>
      <c r="D489" s="4" t="n">
        <v>53</v>
      </c>
      <c r="E489" s="4" t="inlineStr">
        <is>
          <t>buen estado</t>
        </is>
      </c>
      <c r="F489" s="22" t="n">
        <v>212000</v>
      </c>
      <c r="G489" s="23" t="n">
        <v>4000</v>
      </c>
      <c r="H489" s="22" t="n"/>
      <c r="I489" s="23" t="n"/>
      <c r="J489" s="18" t="n"/>
      <c r="K489" s="24" t="n"/>
      <c r="L489" s="4" t="n">
        <v>0</v>
      </c>
      <c r="M489" s="4" t="inlineStr">
        <is>
          <t>sin muestra</t>
        </is>
      </c>
      <c r="N489" s="4" t="inlineStr">
        <is>
          <t>no valorable</t>
        </is>
      </c>
      <c r="O489" s="4" t="inlineStr">
        <is>
          <t>segmento con pocas operaciones comparables</t>
        </is>
      </c>
    </row>
    <row r="490">
      <c r="A490" s="4" t="inlineStr">
        <is>
          <t>MD-0821</t>
        </is>
      </c>
      <c r="B490" s="21" t="n">
        <v>45986</v>
      </c>
      <c r="C490" s="4" t="inlineStr">
        <is>
          <t>Ciudad Lineal</t>
        </is>
      </c>
      <c r="D490" s="4" t="n">
        <v>39</v>
      </c>
      <c r="E490" s="4" t="inlineStr">
        <is>
          <t>reformado</t>
        </is>
      </c>
      <c r="F490" s="22" t="n">
        <v>171000</v>
      </c>
      <c r="G490" s="23" t="n">
        <v>4384.62</v>
      </c>
      <c r="H490" s="22" t="n"/>
      <c r="I490" s="23" t="n"/>
      <c r="J490" s="18" t="n"/>
      <c r="K490" s="24" t="n"/>
      <c r="L490" s="4" t="n">
        <v>1</v>
      </c>
      <c r="M490" s="4" t="inlineStr">
        <is>
          <t>sin muestra</t>
        </is>
      </c>
      <c r="N490" s="4" t="inlineStr">
        <is>
          <t>no valorable</t>
        </is>
      </c>
      <c r="O490" s="4" t="inlineStr">
        <is>
          <t>segmento con pocas operaciones comparables</t>
        </is>
      </c>
    </row>
    <row r="491">
      <c r="A491" s="4" t="inlineStr">
        <is>
          <t>MD-1706</t>
        </is>
      </c>
      <c r="B491" s="21" t="n">
        <v>45986</v>
      </c>
      <c r="C491" s="4" t="inlineStr">
        <is>
          <t>San Blas-Canillejas</t>
        </is>
      </c>
      <c r="D491" s="4" t="n">
        <v>117</v>
      </c>
      <c r="E491" s="4" t="inlineStr">
        <is>
          <t>buen estado</t>
        </is>
      </c>
      <c r="F491" s="22" t="n">
        <v>346000</v>
      </c>
      <c r="G491" s="23" t="n">
        <v>2957.26</v>
      </c>
      <c r="H491" s="22" t="n"/>
      <c r="I491" s="23" t="n"/>
      <c r="J491" s="18" t="n"/>
      <c r="K491" s="24" t="n"/>
      <c r="L491" s="4" t="n">
        <v>2</v>
      </c>
      <c r="M491" s="4" t="inlineStr">
        <is>
          <t>sin muestra</t>
        </is>
      </c>
      <c r="N491" s="4" t="inlineStr">
        <is>
          <t>no valorable</t>
        </is>
      </c>
      <c r="O491" s="4" t="inlineStr">
        <is>
          <t>segmento con pocas operaciones comparables</t>
        </is>
      </c>
    </row>
    <row r="492">
      <c r="A492" s="4" t="inlineStr">
        <is>
          <t>MD-1062</t>
        </is>
      </c>
      <c r="B492" s="21" t="n">
        <v>45986</v>
      </c>
      <c r="C492" s="4" t="inlineStr">
        <is>
          <t>Salamanca</t>
        </is>
      </c>
      <c r="D492" s="4" t="n">
        <v>81</v>
      </c>
      <c r="E492" s="4" t="inlineStr">
        <is>
          <t>reformado</t>
        </is>
      </c>
      <c r="F492" s="22" t="n">
        <v>675000</v>
      </c>
      <c r="G492" s="23" t="n">
        <v>8333.33</v>
      </c>
      <c r="H492" s="22" t="n"/>
      <c r="I492" s="23" t="n"/>
      <c r="J492" s="18" t="n"/>
      <c r="K492" s="24" t="n"/>
      <c r="L492" s="4" t="n">
        <v>4</v>
      </c>
      <c r="M492" s="4" t="inlineStr">
        <is>
          <t>sin muestra</t>
        </is>
      </c>
      <c r="N492" s="4" t="inlineStr">
        <is>
          <t>no valorable</t>
        </is>
      </c>
      <c r="O492" s="4" t="inlineStr">
        <is>
          <t>segmento con pocas operaciones comparables</t>
        </is>
      </c>
    </row>
    <row r="493">
      <c r="A493" s="4" t="inlineStr">
        <is>
          <t>MD-1566</t>
        </is>
      </c>
      <c r="B493" s="21" t="n">
        <v>45986</v>
      </c>
      <c r="C493" s="4" t="inlineStr">
        <is>
          <t>Puente de Vallecas</t>
        </is>
      </c>
      <c r="D493" s="4" t="n">
        <v>36</v>
      </c>
      <c r="E493" s="4" t="inlineStr">
        <is>
          <t>obra nueva</t>
        </is>
      </c>
      <c r="F493" s="22" t="n">
        <v>117000</v>
      </c>
      <c r="G493" s="23" t="n">
        <v>3250</v>
      </c>
      <c r="H493" s="22" t="n">
        <v>107157</v>
      </c>
      <c r="I493" s="23" t="n">
        <v>2976.58</v>
      </c>
      <c r="J493" s="18" t="n">
        <v>0.0919</v>
      </c>
      <c r="K493" s="24" t="n">
        <v>27</v>
      </c>
      <c r="L493" s="4" t="n">
        <v>7</v>
      </c>
      <c r="M493" s="4" t="inlineStr">
        <is>
          <t>baja</t>
        </is>
      </c>
      <c r="N493" s="4" t="inlineStr">
        <is>
          <t>en linea con comparables</t>
        </is>
      </c>
      <c r="O493" s="4" t="n"/>
    </row>
    <row r="494">
      <c r="A494" s="4" t="inlineStr">
        <is>
          <t>MD-1964</t>
        </is>
      </c>
      <c r="B494" s="21" t="n">
        <v>45987</v>
      </c>
      <c r="C494" s="4" t="inlineStr">
        <is>
          <t>Carabanchel</t>
        </is>
      </c>
      <c r="D494" s="4" t="n">
        <v>48</v>
      </c>
      <c r="E494" s="4" t="inlineStr">
        <is>
          <t>buen estado</t>
        </is>
      </c>
      <c r="F494" s="22" t="n">
        <v>155000</v>
      </c>
      <c r="G494" s="23" t="n">
        <v>3229.17</v>
      </c>
      <c r="H494" s="22" t="n">
        <v>158588</v>
      </c>
      <c r="I494" s="23" t="n">
        <v>3303.93</v>
      </c>
      <c r="J494" s="18" t="n">
        <v>-0.0226</v>
      </c>
      <c r="K494" s="24" t="n">
        <v>55.7</v>
      </c>
      <c r="L494" s="4" t="n">
        <v>10</v>
      </c>
      <c r="M494" s="4" t="inlineStr">
        <is>
          <t>media</t>
        </is>
      </c>
      <c r="N494" s="4" t="inlineStr">
        <is>
          <t>en linea con comparables</t>
        </is>
      </c>
      <c r="O494" s="4" t="n"/>
    </row>
    <row r="495">
      <c r="A495" s="4" t="inlineStr">
        <is>
          <t>MD-0971</t>
        </is>
      </c>
      <c r="B495" s="21" t="n">
        <v>45987</v>
      </c>
      <c r="C495" s="4" t="inlineStr">
        <is>
          <t>San Blas-Canillejas</t>
        </is>
      </c>
      <c r="D495" s="4" t="n">
        <v>60</v>
      </c>
      <c r="E495" s="4" t="inlineStr">
        <is>
          <t>a reformar</t>
        </is>
      </c>
      <c r="F495" s="22" t="n">
        <v>167000</v>
      </c>
      <c r="G495" s="23" t="n">
        <v>2783.33</v>
      </c>
      <c r="H495" s="22" t="n">
        <v>191020</v>
      </c>
      <c r="I495" s="23" t="n">
        <v>3183.67</v>
      </c>
      <c r="J495" s="18" t="n">
        <v>-0.1257</v>
      </c>
      <c r="K495" s="24" t="n">
        <v>81.40000000000001</v>
      </c>
      <c r="L495" s="4" t="n">
        <v>7</v>
      </c>
      <c r="M495" s="4" t="inlineStr">
        <is>
          <t>baja</t>
        </is>
      </c>
      <c r="N495" s="4" t="inlineStr">
        <is>
          <t>por debajo de comparables</t>
        </is>
      </c>
      <c r="O495" s="4" t="n"/>
    </row>
    <row r="496">
      <c r="A496" s="4" t="inlineStr">
        <is>
          <t>MD-1785</t>
        </is>
      </c>
      <c r="B496" s="21" t="n">
        <v>45987</v>
      </c>
      <c r="C496" s="4" t="inlineStr">
        <is>
          <t>Fuencarral-El Pardo</t>
        </is>
      </c>
      <c r="D496" s="4" t="n">
        <v>80</v>
      </c>
      <c r="E496" s="4" t="inlineStr">
        <is>
          <t>buen estado</t>
        </is>
      </c>
      <c r="F496" s="22" t="n">
        <v>321000</v>
      </c>
      <c r="G496" s="23" t="n">
        <v>4012.5</v>
      </c>
      <c r="H496" s="22" t="n">
        <v>412822</v>
      </c>
      <c r="I496" s="23" t="n">
        <v>5160.28</v>
      </c>
      <c r="J496" s="18" t="n">
        <v>-0.2224</v>
      </c>
      <c r="K496" s="24" t="n">
        <v>100</v>
      </c>
      <c r="L496" s="4" t="n">
        <v>9</v>
      </c>
      <c r="M496" s="4" t="inlineStr">
        <is>
          <t>media</t>
        </is>
      </c>
      <c r="N496" s="4" t="inlineStr">
        <is>
          <t>por debajo de comparables</t>
        </is>
      </c>
      <c r="O496" s="4" t="n"/>
    </row>
    <row r="497">
      <c r="A497" s="4" t="inlineStr">
        <is>
          <t>MD-0656</t>
        </is>
      </c>
      <c r="B497" s="21" t="n">
        <v>45987</v>
      </c>
      <c r="C497" s="4" t="inlineStr">
        <is>
          <t>Centro</t>
        </is>
      </c>
      <c r="D497" s="4" t="n">
        <v>139</v>
      </c>
      <c r="E497" s="4" t="inlineStr">
        <is>
          <t>reformado</t>
        </is>
      </c>
      <c r="F497" s="22" t="n">
        <v>696000</v>
      </c>
      <c r="G497" s="23" t="n">
        <v>5007.19</v>
      </c>
      <c r="H497" s="22" t="n">
        <v>1077427</v>
      </c>
      <c r="I497" s="23" t="n">
        <v>7751.27</v>
      </c>
      <c r="J497" s="18" t="n">
        <v>-0.354</v>
      </c>
      <c r="K497" s="24" t="n">
        <v>100</v>
      </c>
      <c r="L497" s="4" t="n">
        <v>7</v>
      </c>
      <c r="M497" s="4" t="inlineStr">
        <is>
          <t>baja</t>
        </is>
      </c>
      <c r="N497" s="4" t="inlineStr">
        <is>
          <t>por debajo de comparables</t>
        </is>
      </c>
      <c r="O497" s="4" t="n"/>
    </row>
    <row r="498">
      <c r="A498" s="4" t="inlineStr">
        <is>
          <t>MD-0980</t>
        </is>
      </c>
      <c r="B498" s="21" t="n">
        <v>45987</v>
      </c>
      <c r="C498" s="4" t="inlineStr">
        <is>
          <t>Fuencarral-El Pardo</t>
        </is>
      </c>
      <c r="D498" s="4" t="n">
        <v>56</v>
      </c>
      <c r="E498" s="4" t="inlineStr">
        <is>
          <t>reformado</t>
        </is>
      </c>
      <c r="F498" s="22" t="n">
        <v>295000</v>
      </c>
      <c r="G498" s="23" t="n">
        <v>5267.86</v>
      </c>
      <c r="H498" s="22" t="n">
        <v>289498</v>
      </c>
      <c r="I498" s="23" t="n">
        <v>5169.61</v>
      </c>
      <c r="J498" s="18" t="n">
        <v>0.019</v>
      </c>
      <c r="K498" s="24" t="n">
        <v>45.2</v>
      </c>
      <c r="L498" s="4" t="n">
        <v>8</v>
      </c>
      <c r="M498" s="4" t="inlineStr">
        <is>
          <t>media</t>
        </is>
      </c>
      <c r="N498" s="4" t="inlineStr">
        <is>
          <t>en linea con comparables</t>
        </is>
      </c>
      <c r="O498" s="4" t="n"/>
    </row>
    <row r="499">
      <c r="A499" s="4" t="inlineStr">
        <is>
          <t>MD-1319</t>
        </is>
      </c>
      <c r="B499" s="21" t="n">
        <v>45987</v>
      </c>
      <c r="C499" s="4" t="inlineStr">
        <is>
          <t>Fuencarral-El Pardo</t>
        </is>
      </c>
      <c r="D499" s="4" t="n">
        <v>84</v>
      </c>
      <c r="E499" s="4" t="inlineStr">
        <is>
          <t>buen estado</t>
        </is>
      </c>
      <c r="F499" s="22" t="n">
        <v>487000</v>
      </c>
      <c r="G499" s="23" t="n">
        <v>5797.62</v>
      </c>
      <c r="H499" s="22" t="n">
        <v>489024</v>
      </c>
      <c r="I499" s="23" t="n">
        <v>5821.72</v>
      </c>
      <c r="J499" s="18" t="n">
        <v>-0.0041</v>
      </c>
      <c r="K499" s="24" t="n">
        <v>51</v>
      </c>
      <c r="L499" s="4" t="n">
        <v>11</v>
      </c>
      <c r="M499" s="4" t="inlineStr">
        <is>
          <t>media</t>
        </is>
      </c>
      <c r="N499" s="4" t="inlineStr">
        <is>
          <t>en linea con comparables</t>
        </is>
      </c>
      <c r="O499" s="4" t="n"/>
    </row>
    <row r="500">
      <c r="A500" s="4" t="inlineStr">
        <is>
          <t>MD-1671</t>
        </is>
      </c>
      <c r="B500" s="21" t="n">
        <v>45987</v>
      </c>
      <c r="C500" s="4" t="inlineStr">
        <is>
          <t>Centro</t>
        </is>
      </c>
      <c r="D500" s="4" t="n">
        <v>55</v>
      </c>
      <c r="E500" s="4" t="inlineStr">
        <is>
          <t>a reformar</t>
        </is>
      </c>
      <c r="F500" s="22" t="n">
        <v>342000</v>
      </c>
      <c r="G500" s="23" t="n">
        <v>6218.18</v>
      </c>
      <c r="H500" s="22" t="n">
        <v>342702</v>
      </c>
      <c r="I500" s="23" t="n">
        <v>6230.94</v>
      </c>
      <c r="J500" s="18" t="n">
        <v>-0.002</v>
      </c>
      <c r="K500" s="24" t="n">
        <v>50.5</v>
      </c>
      <c r="L500" s="4" t="n">
        <v>7</v>
      </c>
      <c r="M500" s="4" t="inlineStr">
        <is>
          <t>baja</t>
        </is>
      </c>
      <c r="N500" s="4" t="inlineStr">
        <is>
          <t>en linea con comparables</t>
        </is>
      </c>
      <c r="O500" s="4" t="n"/>
    </row>
    <row r="501">
      <c r="A501" s="4" t="inlineStr">
        <is>
          <t>MD-0653</t>
        </is>
      </c>
      <c r="B501" s="21" t="n">
        <v>45988</v>
      </c>
      <c r="C501" s="4" t="inlineStr">
        <is>
          <t>Centro</t>
        </is>
      </c>
      <c r="D501" s="4" t="n">
        <v>39</v>
      </c>
      <c r="E501" s="4" t="inlineStr">
        <is>
          <t>buen estado</t>
        </is>
      </c>
      <c r="F501" s="22" t="n">
        <v>288000</v>
      </c>
      <c r="G501" s="23" t="n">
        <v>7384.62</v>
      </c>
      <c r="H501" s="22" t="n"/>
      <c r="I501" s="23" t="n"/>
      <c r="J501" s="18" t="n"/>
      <c r="K501" s="24" t="n"/>
      <c r="L501" s="4" t="n">
        <v>4</v>
      </c>
      <c r="M501" s="4" t="inlineStr">
        <is>
          <t>sin muestra</t>
        </is>
      </c>
      <c r="N501" s="4" t="inlineStr">
        <is>
          <t>no valorable</t>
        </is>
      </c>
      <c r="O501" s="4" t="inlineStr">
        <is>
          <t>segmento con pocas operaciones comparables</t>
        </is>
      </c>
    </row>
    <row r="502">
      <c r="A502" s="4" t="inlineStr">
        <is>
          <t>MD-1577</t>
        </is>
      </c>
      <c r="B502" s="21" t="n">
        <v>45988</v>
      </c>
      <c r="C502" s="4" t="inlineStr">
        <is>
          <t>Ciudad Lineal</t>
        </is>
      </c>
      <c r="D502" s="4" t="n">
        <v>78</v>
      </c>
      <c r="E502" s="4" t="inlineStr">
        <is>
          <t>buen estado</t>
        </is>
      </c>
      <c r="F502" s="22" t="n">
        <v>396000</v>
      </c>
      <c r="G502" s="23" t="n">
        <v>5076.92</v>
      </c>
      <c r="H502" s="22" t="n">
        <v>447436</v>
      </c>
      <c r="I502" s="23" t="n">
        <v>5736.35</v>
      </c>
      <c r="J502" s="18" t="n">
        <v>-0.115</v>
      </c>
      <c r="K502" s="24" t="n">
        <v>78.7</v>
      </c>
      <c r="L502" s="4" t="n">
        <v>9</v>
      </c>
      <c r="M502" s="4" t="inlineStr">
        <is>
          <t>media</t>
        </is>
      </c>
      <c r="N502" s="4" t="inlineStr">
        <is>
          <t>por debajo de comparables</t>
        </is>
      </c>
      <c r="O502" s="4" t="n"/>
    </row>
    <row r="503">
      <c r="A503" s="4" t="inlineStr">
        <is>
          <t>MD-1276</t>
        </is>
      </c>
      <c r="B503" s="21" t="n">
        <v>45988</v>
      </c>
      <c r="C503" s="4" t="inlineStr">
        <is>
          <t>Puente de Vallecas</t>
        </is>
      </c>
      <c r="D503" s="4" t="n">
        <v>53</v>
      </c>
      <c r="E503" s="4" t="inlineStr">
        <is>
          <t>obra nueva</t>
        </is>
      </c>
      <c r="F503" s="22" t="n">
        <v>133000</v>
      </c>
      <c r="G503" s="23" t="n">
        <v>2509.43</v>
      </c>
      <c r="H503" s="22" t="n">
        <v>148932</v>
      </c>
      <c r="I503" s="23" t="n">
        <v>2810.05</v>
      </c>
      <c r="J503" s="18" t="n">
        <v>-0.107</v>
      </c>
      <c r="K503" s="24" t="n">
        <v>76.7</v>
      </c>
      <c r="L503" s="4" t="n">
        <v>20</v>
      </c>
      <c r="M503" s="4" t="inlineStr">
        <is>
          <t>alta</t>
        </is>
      </c>
      <c r="N503" s="4" t="inlineStr">
        <is>
          <t>por debajo de comparables</t>
        </is>
      </c>
      <c r="O503" s="4" t="n"/>
    </row>
    <row r="504">
      <c r="A504" s="4" t="inlineStr">
        <is>
          <t>MD-0289</t>
        </is>
      </c>
      <c r="B504" s="21" t="n">
        <v>45988</v>
      </c>
      <c r="C504" s="4" t="inlineStr">
        <is>
          <t>Fuencarral-El Pardo</t>
        </is>
      </c>
      <c r="D504" s="4" t="n">
        <v>89</v>
      </c>
      <c r="E504" s="4" t="inlineStr">
        <is>
          <t>reformado</t>
        </is>
      </c>
      <c r="F504" s="22" t="n">
        <v>378000</v>
      </c>
      <c r="G504" s="23" t="n">
        <v>4247.19</v>
      </c>
      <c r="H504" s="22" t="n">
        <v>510940</v>
      </c>
      <c r="I504" s="23" t="n">
        <v>5740.9</v>
      </c>
      <c r="J504" s="18" t="n">
        <v>-0.2602</v>
      </c>
      <c r="K504" s="24" t="n">
        <v>100</v>
      </c>
      <c r="L504" s="4" t="n">
        <v>12</v>
      </c>
      <c r="M504" s="4" t="inlineStr">
        <is>
          <t>media</t>
        </is>
      </c>
      <c r="N504" s="4" t="inlineStr">
        <is>
          <t>por debajo de comparables</t>
        </is>
      </c>
      <c r="O504" s="4" t="n"/>
    </row>
    <row r="505">
      <c r="A505" s="4" t="inlineStr">
        <is>
          <t>MD-1000</t>
        </is>
      </c>
      <c r="B505" s="21" t="n">
        <v>45989</v>
      </c>
      <c r="C505" s="4" t="inlineStr">
        <is>
          <t>Latina</t>
        </is>
      </c>
      <c r="D505" s="4" t="n">
        <v>74</v>
      </c>
      <c r="E505" s="4" t="inlineStr">
        <is>
          <t>reformado</t>
        </is>
      </c>
      <c r="F505" s="22" t="n">
        <v>213000</v>
      </c>
      <c r="G505" s="23" t="n">
        <v>2878.38</v>
      </c>
      <c r="H505" s="22" t="n">
        <v>269208</v>
      </c>
      <c r="I505" s="23" t="n">
        <v>3637.95</v>
      </c>
      <c r="J505" s="18" t="n">
        <v>-0.2088</v>
      </c>
      <c r="K505" s="24" t="n">
        <v>100</v>
      </c>
      <c r="L505" s="4" t="n">
        <v>22</v>
      </c>
      <c r="M505" s="4" t="inlineStr">
        <is>
          <t>media</t>
        </is>
      </c>
      <c r="N505" s="4" t="inlineStr">
        <is>
          <t>por debajo de comparables</t>
        </is>
      </c>
      <c r="O505" s="4" t="n"/>
    </row>
    <row r="506">
      <c r="A506" s="4" t="inlineStr">
        <is>
          <t>MD-1838</t>
        </is>
      </c>
      <c r="B506" s="21" t="n">
        <v>45989</v>
      </c>
      <c r="C506" s="4" t="inlineStr">
        <is>
          <t>San Blas-Canillejas</t>
        </is>
      </c>
      <c r="D506" s="4" t="n">
        <v>150</v>
      </c>
      <c r="E506" s="4" t="inlineStr">
        <is>
          <t>a reformar</t>
        </is>
      </c>
      <c r="F506" s="22" t="n">
        <v>470000</v>
      </c>
      <c r="G506" s="23" t="n">
        <v>3133.33</v>
      </c>
      <c r="H506" s="22" t="n"/>
      <c r="I506" s="23" t="n"/>
      <c r="J506" s="18" t="n"/>
      <c r="K506" s="24" t="n"/>
      <c r="L506" s="4" t="n">
        <v>3</v>
      </c>
      <c r="M506" s="4" t="inlineStr">
        <is>
          <t>sin muestra</t>
        </is>
      </c>
      <c r="N506" s="4" t="inlineStr">
        <is>
          <t>no valorable</t>
        </is>
      </c>
      <c r="O506" s="4" t="inlineStr">
        <is>
          <t>segmento con pocas operaciones comparables</t>
        </is>
      </c>
    </row>
    <row r="507">
      <c r="A507" s="4" t="inlineStr">
        <is>
          <t>MD-1214</t>
        </is>
      </c>
      <c r="B507" s="21" t="n">
        <v>45989</v>
      </c>
      <c r="C507" s="4" t="inlineStr">
        <is>
          <t>Centro</t>
        </is>
      </c>
      <c r="D507" s="4" t="n">
        <v>83</v>
      </c>
      <c r="E507" s="4" t="inlineStr">
        <is>
          <t>buen estado</t>
        </is>
      </c>
      <c r="F507" s="22" t="n">
        <v>799000</v>
      </c>
      <c r="G507" s="23" t="n">
        <v>9626.51</v>
      </c>
      <c r="H507" s="22" t="n">
        <v>605815</v>
      </c>
      <c r="I507" s="23" t="n">
        <v>7298.97</v>
      </c>
      <c r="J507" s="18" t="n">
        <v>0.3189</v>
      </c>
      <c r="K507" s="24" t="n">
        <v>0</v>
      </c>
      <c r="L507" s="4" t="n">
        <v>6</v>
      </c>
      <c r="M507" s="4" t="inlineStr">
        <is>
          <t>baja</t>
        </is>
      </c>
      <c r="N507" s="4" t="inlineStr">
        <is>
          <t>por encima de comparables</t>
        </is>
      </c>
      <c r="O507" s="4" t="n"/>
    </row>
    <row r="508">
      <c r="A508" s="4" t="inlineStr">
        <is>
          <t>MD-0061</t>
        </is>
      </c>
      <c r="B508" s="21" t="n">
        <v>45989</v>
      </c>
      <c r="C508" s="4" t="inlineStr">
        <is>
          <t>Ciudad Lineal</t>
        </is>
      </c>
      <c r="D508" s="4" t="n">
        <v>46</v>
      </c>
      <c r="E508" s="4" t="inlineStr">
        <is>
          <t>buen estado</t>
        </is>
      </c>
      <c r="F508" s="22" t="n">
        <v>202000</v>
      </c>
      <c r="G508" s="23" t="n">
        <v>4391.3</v>
      </c>
      <c r="H508" s="22" t="n">
        <v>215513</v>
      </c>
      <c r="I508" s="23" t="n">
        <v>4685.06</v>
      </c>
      <c r="J508" s="18" t="n">
        <v>-0.06270000000000001</v>
      </c>
      <c r="K508" s="24" t="n">
        <v>65.7</v>
      </c>
      <c r="L508" s="4" t="n">
        <v>6</v>
      </c>
      <c r="M508" s="4" t="inlineStr">
        <is>
          <t>baja</t>
        </is>
      </c>
      <c r="N508" s="4" t="inlineStr">
        <is>
          <t>en linea con comparables</t>
        </is>
      </c>
      <c r="O508" s="4" t="n"/>
    </row>
    <row r="509">
      <c r="A509" s="4" t="inlineStr">
        <is>
          <t>MD-0780</t>
        </is>
      </c>
      <c r="B509" s="21" t="n">
        <v>45990</v>
      </c>
      <c r="C509" s="4" t="inlineStr">
        <is>
          <t>Retiro</t>
        </is>
      </c>
      <c r="D509" s="4" t="n">
        <v>79</v>
      </c>
      <c r="E509" s="4" t="inlineStr">
        <is>
          <t>buen estado</t>
        </is>
      </c>
      <c r="F509" s="22" t="n">
        <v>610000</v>
      </c>
      <c r="G509" s="23" t="n">
        <v>7721.52</v>
      </c>
      <c r="H509" s="22" t="n">
        <v>506596</v>
      </c>
      <c r="I509" s="23" t="n">
        <v>6412.61</v>
      </c>
      <c r="J509" s="18" t="n">
        <v>0.2041</v>
      </c>
      <c r="K509" s="24" t="n">
        <v>0</v>
      </c>
      <c r="L509" s="4" t="n">
        <v>11</v>
      </c>
      <c r="M509" s="4" t="inlineStr">
        <is>
          <t>media</t>
        </is>
      </c>
      <c r="N509" s="4" t="inlineStr">
        <is>
          <t>por encima de comparables</t>
        </is>
      </c>
      <c r="O509" s="4" t="n"/>
    </row>
    <row r="510">
      <c r="A510" s="4" t="inlineStr">
        <is>
          <t>MD-0532</t>
        </is>
      </c>
      <c r="B510" s="21" t="n">
        <v>45990</v>
      </c>
      <c r="C510" s="4" t="inlineStr">
        <is>
          <t>Centro</t>
        </is>
      </c>
      <c r="D510" s="4" t="n">
        <v>56</v>
      </c>
      <c r="E510" s="4" t="inlineStr">
        <is>
          <t>buen estado</t>
        </is>
      </c>
      <c r="F510" s="22" t="n">
        <v>319000</v>
      </c>
      <c r="G510" s="23" t="n">
        <v>5696.43</v>
      </c>
      <c r="H510" s="22" t="n">
        <v>404757</v>
      </c>
      <c r="I510" s="23" t="n">
        <v>7227.81</v>
      </c>
      <c r="J510" s="18" t="n">
        <v>-0.2119</v>
      </c>
      <c r="K510" s="24" t="n">
        <v>100</v>
      </c>
      <c r="L510" s="4" t="n">
        <v>8</v>
      </c>
      <c r="M510" s="4" t="inlineStr">
        <is>
          <t>media</t>
        </is>
      </c>
      <c r="N510" s="4" t="inlineStr">
        <is>
          <t>por debajo de comparables</t>
        </is>
      </c>
      <c r="O510" s="4" t="n"/>
    </row>
    <row r="511">
      <c r="A511" s="4" t="inlineStr">
        <is>
          <t>MD-1794</t>
        </is>
      </c>
      <c r="B511" s="21" t="n">
        <v>45991</v>
      </c>
      <c r="C511" s="4" t="inlineStr">
        <is>
          <t>San Blas-Canillejas</t>
        </is>
      </c>
      <c r="D511" s="4" t="n">
        <v>48</v>
      </c>
      <c r="E511" s="4" t="inlineStr">
        <is>
          <t>reformado</t>
        </is>
      </c>
      <c r="F511" s="22" t="n">
        <v>181000</v>
      </c>
      <c r="G511" s="23" t="n">
        <v>3770.83</v>
      </c>
      <c r="H511" s="22" t="n">
        <v>197713</v>
      </c>
      <c r="I511" s="23" t="n">
        <v>4119.01</v>
      </c>
      <c r="J511" s="18" t="n">
        <v>-0.08450000000000001</v>
      </c>
      <c r="K511" s="24" t="n">
        <v>71.09999999999999</v>
      </c>
      <c r="L511" s="4" t="n">
        <v>8</v>
      </c>
      <c r="M511" s="4" t="inlineStr">
        <is>
          <t>media</t>
        </is>
      </c>
      <c r="N511" s="4" t="inlineStr">
        <is>
          <t>en linea con comparables</t>
        </is>
      </c>
      <c r="O511" s="4" t="n"/>
    </row>
    <row r="512">
      <c r="A512" s="4" t="inlineStr">
        <is>
          <t>MD-1120</t>
        </is>
      </c>
      <c r="B512" s="21" t="n">
        <v>45991</v>
      </c>
      <c r="C512" s="4" t="inlineStr">
        <is>
          <t>Vicalvaro</t>
        </is>
      </c>
      <c r="D512" s="4" t="n">
        <v>121</v>
      </c>
      <c r="E512" s="4" t="inlineStr">
        <is>
          <t>buen estado</t>
        </is>
      </c>
      <c r="F512" s="22" t="n">
        <v>471000</v>
      </c>
      <c r="G512" s="23" t="n">
        <v>3892.56</v>
      </c>
      <c r="H512" s="22" t="n"/>
      <c r="I512" s="23" t="n"/>
      <c r="J512" s="18" t="n"/>
      <c r="K512" s="24" t="n"/>
      <c r="L512" s="4" t="n">
        <v>2</v>
      </c>
      <c r="M512" s="4" t="inlineStr">
        <is>
          <t>sin muestra</t>
        </is>
      </c>
      <c r="N512" s="4" t="inlineStr">
        <is>
          <t>no valorable</t>
        </is>
      </c>
      <c r="O512" s="4" t="inlineStr">
        <is>
          <t>segmento con pocas operaciones comparables</t>
        </is>
      </c>
    </row>
    <row r="513">
      <c r="A513" s="4" t="inlineStr">
        <is>
          <t>MD-0484</t>
        </is>
      </c>
      <c r="B513" s="21" t="n">
        <v>45991</v>
      </c>
      <c r="C513" s="4" t="inlineStr">
        <is>
          <t>Salamanca</t>
        </is>
      </c>
      <c r="D513" s="4" t="n">
        <v>35</v>
      </c>
      <c r="E513" s="4" t="inlineStr">
        <is>
          <t>a reformar</t>
        </is>
      </c>
      <c r="F513" s="22" t="n">
        <v>242000</v>
      </c>
      <c r="G513" s="23" t="n">
        <v>6914.29</v>
      </c>
      <c r="H513" s="22" t="n"/>
      <c r="I513" s="23" t="n"/>
      <c r="J513" s="18" t="n"/>
      <c r="K513" s="24" t="n"/>
      <c r="L513" s="4" t="n">
        <v>3</v>
      </c>
      <c r="M513" s="4" t="inlineStr">
        <is>
          <t>sin muestra</t>
        </is>
      </c>
      <c r="N513" s="4" t="inlineStr">
        <is>
          <t>no valorable</t>
        </is>
      </c>
      <c r="O513" s="4" t="inlineStr">
        <is>
          <t>segmento con pocas operaciones comparables</t>
        </is>
      </c>
    </row>
    <row r="514">
      <c r="A514" s="4" t="inlineStr">
        <is>
          <t>MD-1868</t>
        </is>
      </c>
      <c r="B514" s="21" t="n">
        <v>45991</v>
      </c>
      <c r="C514" s="4" t="inlineStr">
        <is>
          <t>Vicalvaro</t>
        </is>
      </c>
      <c r="D514" s="4" t="n">
        <v>115</v>
      </c>
      <c r="E514" s="4" t="inlineStr">
        <is>
          <t>buen estado</t>
        </is>
      </c>
      <c r="F514" s="22" t="n">
        <v>336000</v>
      </c>
      <c r="G514" s="23" t="n">
        <v>2921.74</v>
      </c>
      <c r="H514" s="22" t="n"/>
      <c r="I514" s="23" t="n"/>
      <c r="J514" s="18" t="n"/>
      <c r="K514" s="24" t="n"/>
      <c r="L514" s="4" t="n">
        <v>3</v>
      </c>
      <c r="M514" s="4" t="inlineStr">
        <is>
          <t>sin muestra</t>
        </is>
      </c>
      <c r="N514" s="4" t="inlineStr">
        <is>
          <t>no valorable</t>
        </is>
      </c>
      <c r="O514" s="4" t="inlineStr">
        <is>
          <t>segmento con pocas operaciones comparables</t>
        </is>
      </c>
    </row>
    <row r="515">
      <c r="A515" s="4" t="inlineStr">
        <is>
          <t>MD-0607</t>
        </is>
      </c>
      <c r="B515" s="21" t="n">
        <v>45991</v>
      </c>
      <c r="C515" s="4" t="inlineStr">
        <is>
          <t>Ciudad Lineal</t>
        </is>
      </c>
      <c r="D515" s="4" t="n">
        <v>180</v>
      </c>
      <c r="E515" s="4" t="inlineStr">
        <is>
          <t>buen estado</t>
        </is>
      </c>
      <c r="F515" s="22" t="n">
        <v>830000</v>
      </c>
      <c r="G515" s="23" t="n">
        <v>4611.11</v>
      </c>
      <c r="H515" s="22" t="n"/>
      <c r="I515" s="23" t="n"/>
      <c r="J515" s="18" t="n"/>
      <c r="K515" s="24" t="n"/>
      <c r="L515" s="4" t="n">
        <v>3</v>
      </c>
      <c r="M515" s="4" t="inlineStr">
        <is>
          <t>sin muestra</t>
        </is>
      </c>
      <c r="N515" s="4" t="inlineStr">
        <is>
          <t>no valorable</t>
        </is>
      </c>
      <c r="O515" s="4" t="inlineStr">
        <is>
          <t>segmento con pocas operaciones comparables</t>
        </is>
      </c>
    </row>
    <row r="516">
      <c r="A516" s="4" t="inlineStr">
        <is>
          <t>MD-1038</t>
        </is>
      </c>
      <c r="B516" s="21" t="n">
        <v>45991</v>
      </c>
      <c r="C516" s="4" t="inlineStr">
        <is>
          <t>Tetuan</t>
        </is>
      </c>
      <c r="D516" s="4" t="n">
        <v>84</v>
      </c>
      <c r="E516" s="4" t="inlineStr">
        <is>
          <t>obra nueva</t>
        </is>
      </c>
      <c r="F516" s="22" t="n">
        <v>503000</v>
      </c>
      <c r="G516" s="23" t="n">
        <v>5988.1</v>
      </c>
      <c r="H516" s="22" t="n">
        <v>407347</v>
      </c>
      <c r="I516" s="23" t="n">
        <v>4849.37</v>
      </c>
      <c r="J516" s="18" t="n">
        <v>0.2348</v>
      </c>
      <c r="K516" s="24" t="n">
        <v>0</v>
      </c>
      <c r="L516" s="4" t="n">
        <v>10</v>
      </c>
      <c r="M516" s="4" t="inlineStr">
        <is>
          <t>media</t>
        </is>
      </c>
      <c r="N516" s="4" t="inlineStr">
        <is>
          <t>por encima de comparables</t>
        </is>
      </c>
      <c r="O516" s="4" t="n"/>
    </row>
    <row r="517">
      <c r="A517" s="4" t="inlineStr">
        <is>
          <t>MD-1221</t>
        </is>
      </c>
      <c r="B517" s="21" t="n">
        <v>45991</v>
      </c>
      <c r="C517" s="4" t="inlineStr">
        <is>
          <t>Puente de Vallecas</t>
        </is>
      </c>
      <c r="D517" s="4" t="n">
        <v>104</v>
      </c>
      <c r="E517" s="4" t="inlineStr">
        <is>
          <t>buen estado</t>
        </is>
      </c>
      <c r="F517" s="22" t="n">
        <v>255000</v>
      </c>
      <c r="G517" s="23" t="n">
        <v>2451.92</v>
      </c>
      <c r="H517" s="22" t="n">
        <v>250782</v>
      </c>
      <c r="I517" s="23" t="n">
        <v>2411.37</v>
      </c>
      <c r="J517" s="18" t="n">
        <v>0.0168</v>
      </c>
      <c r="K517" s="24" t="n">
        <v>45.8</v>
      </c>
      <c r="L517" s="4" t="n">
        <v>6</v>
      </c>
      <c r="M517" s="4" t="inlineStr">
        <is>
          <t>baja</t>
        </is>
      </c>
      <c r="N517" s="4" t="inlineStr">
        <is>
          <t>en linea con comparables</t>
        </is>
      </c>
      <c r="O517" s="4" t="n"/>
    </row>
    <row r="518">
      <c r="A518" s="4" t="inlineStr">
        <is>
          <t>MD-1315</t>
        </is>
      </c>
      <c r="B518" s="21" t="n">
        <v>45992</v>
      </c>
      <c r="C518" s="4" t="inlineStr">
        <is>
          <t>Latina</t>
        </is>
      </c>
      <c r="D518" s="4" t="n">
        <v>56</v>
      </c>
      <c r="E518" s="4" t="inlineStr">
        <is>
          <t>buen estado</t>
        </is>
      </c>
      <c r="F518" s="22" t="n">
        <v>190000</v>
      </c>
      <c r="G518" s="23" t="n">
        <v>3392.86</v>
      </c>
      <c r="H518" s="22" t="n">
        <v>161915</v>
      </c>
      <c r="I518" s="23" t="n">
        <v>2891.34</v>
      </c>
      <c r="J518" s="18" t="n">
        <v>0.1735</v>
      </c>
      <c r="K518" s="24" t="n">
        <v>6.6</v>
      </c>
      <c r="L518" s="4" t="n">
        <v>13</v>
      </c>
      <c r="M518" s="4" t="inlineStr">
        <is>
          <t>media</t>
        </is>
      </c>
      <c r="N518" s="4" t="inlineStr">
        <is>
          <t>por encima de comparables</t>
        </is>
      </c>
      <c r="O518" s="4" t="n"/>
    </row>
    <row r="519">
      <c r="A519" s="4" t="inlineStr">
        <is>
          <t>MD-0094</t>
        </is>
      </c>
      <c r="B519" s="21" t="n">
        <v>45992</v>
      </c>
      <c r="C519" s="4" t="inlineStr">
        <is>
          <t>Moratalaz</t>
        </is>
      </c>
      <c r="D519" s="4" t="n">
        <v>90</v>
      </c>
      <c r="E519" s="4" t="inlineStr">
        <is>
          <t>reformado</t>
        </is>
      </c>
      <c r="F519" s="22" t="n">
        <v>362000</v>
      </c>
      <c r="G519" s="23" t="n">
        <v>4022.22</v>
      </c>
      <c r="H519" s="22" t="n"/>
      <c r="I519" s="23" t="n"/>
      <c r="J519" s="18" t="n"/>
      <c r="K519" s="24" t="n"/>
      <c r="L519" s="4" t="n">
        <v>4</v>
      </c>
      <c r="M519" s="4" t="inlineStr">
        <is>
          <t>sin muestra</t>
        </is>
      </c>
      <c r="N519" s="4" t="inlineStr">
        <is>
          <t>no valorable</t>
        </is>
      </c>
      <c r="O519" s="4" t="inlineStr">
        <is>
          <t>segmento con pocas operaciones comparables</t>
        </is>
      </c>
    </row>
    <row r="520">
      <c r="A520" s="4" t="inlineStr">
        <is>
          <t>MD-1751</t>
        </is>
      </c>
      <c r="B520" s="21" t="n">
        <v>45992</v>
      </c>
      <c r="C520" s="4" t="inlineStr">
        <is>
          <t>Ciudad Lineal</t>
        </is>
      </c>
      <c r="D520" s="4" t="n">
        <v>49</v>
      </c>
      <c r="E520" s="4" t="inlineStr">
        <is>
          <t>buen estado</t>
        </is>
      </c>
      <c r="F520" s="22" t="n">
        <v>190000</v>
      </c>
      <c r="G520" s="23" t="n">
        <v>3877.55</v>
      </c>
      <c r="H520" s="22" t="n">
        <v>179393</v>
      </c>
      <c r="I520" s="23" t="n">
        <v>3661.08</v>
      </c>
      <c r="J520" s="18" t="n">
        <v>0.0591</v>
      </c>
      <c r="K520" s="24" t="n">
        <v>35.2</v>
      </c>
      <c r="L520" s="4" t="n">
        <v>7</v>
      </c>
      <c r="M520" s="4" t="inlineStr">
        <is>
          <t>baja</t>
        </is>
      </c>
      <c r="N520" s="4" t="inlineStr">
        <is>
          <t>en linea con comparables</t>
        </is>
      </c>
      <c r="O520" s="4" t="n"/>
    </row>
    <row r="521">
      <c r="A521" s="4" t="inlineStr">
        <is>
          <t>MD-0397</t>
        </is>
      </c>
      <c r="B521" s="21" t="n">
        <v>45992</v>
      </c>
      <c r="C521" s="4" t="inlineStr">
        <is>
          <t>Carabanchel</t>
        </is>
      </c>
      <c r="D521" s="4" t="n">
        <v>38</v>
      </c>
      <c r="E521" s="4" t="inlineStr">
        <is>
          <t>buen estado</t>
        </is>
      </c>
      <c r="F521" s="22" t="n">
        <v>134000</v>
      </c>
      <c r="G521" s="23" t="n">
        <v>3526.32</v>
      </c>
      <c r="H521" s="22" t="n"/>
      <c r="I521" s="23" t="n"/>
      <c r="J521" s="18" t="n"/>
      <c r="K521" s="24" t="n"/>
      <c r="L521" s="4" t="n">
        <v>4</v>
      </c>
      <c r="M521" s="4" t="inlineStr">
        <is>
          <t>sin muestra</t>
        </is>
      </c>
      <c r="N521" s="4" t="inlineStr">
        <is>
          <t>no valorable</t>
        </is>
      </c>
      <c r="O521" s="4" t="inlineStr">
        <is>
          <t>segmento con pocas operaciones comparables</t>
        </is>
      </c>
    </row>
    <row r="522">
      <c r="A522" s="4" t="inlineStr">
        <is>
          <t>MD-0217</t>
        </is>
      </c>
      <c r="B522" s="21" t="n">
        <v>45992</v>
      </c>
      <c r="C522" s="4" t="inlineStr">
        <is>
          <t>Ciudad Lineal</t>
        </is>
      </c>
      <c r="D522" s="4" t="n">
        <v>47</v>
      </c>
      <c r="E522" s="4" t="inlineStr">
        <is>
          <t>buen estado</t>
        </is>
      </c>
      <c r="F522" s="22" t="n">
        <v>192000</v>
      </c>
      <c r="G522" s="23" t="n">
        <v>4085.11</v>
      </c>
      <c r="H522" s="22" t="n">
        <v>187859</v>
      </c>
      <c r="I522" s="23" t="n">
        <v>3997.01</v>
      </c>
      <c r="J522" s="18" t="n">
        <v>0.022</v>
      </c>
      <c r="K522" s="24" t="n">
        <v>44.5</v>
      </c>
      <c r="L522" s="4" t="n">
        <v>7</v>
      </c>
      <c r="M522" s="4" t="inlineStr">
        <is>
          <t>baja</t>
        </is>
      </c>
      <c r="N522" s="4" t="inlineStr">
        <is>
          <t>en linea con comparables</t>
        </is>
      </c>
      <c r="O522" s="4" t="n"/>
    </row>
    <row r="523">
      <c r="A523" s="4" t="inlineStr">
        <is>
          <t>MD-0839</t>
        </is>
      </c>
      <c r="B523" s="21" t="n">
        <v>45992</v>
      </c>
      <c r="C523" s="4" t="inlineStr">
        <is>
          <t>Salamanca</t>
        </is>
      </c>
      <c r="D523" s="4" t="n">
        <v>186</v>
      </c>
      <c r="E523" s="4" t="inlineStr">
        <is>
          <t>buen estado</t>
        </is>
      </c>
      <c r="F523" s="22" t="n">
        <v>1753000</v>
      </c>
      <c r="G523" s="23" t="n">
        <v>9424.73</v>
      </c>
      <c r="H523" s="22" t="n">
        <v>1709074</v>
      </c>
      <c r="I523" s="23" t="n">
        <v>9188.57</v>
      </c>
      <c r="J523" s="18" t="n">
        <v>0.0257</v>
      </c>
      <c r="K523" s="24" t="n">
        <v>43.6</v>
      </c>
      <c r="L523" s="4" t="n">
        <v>5</v>
      </c>
      <c r="M523" s="4" t="inlineStr">
        <is>
          <t>baja</t>
        </is>
      </c>
      <c r="N523" s="4" t="inlineStr">
        <is>
          <t>en linea con comparables</t>
        </is>
      </c>
      <c r="O523" s="4" t="n"/>
    </row>
    <row r="524">
      <c r="A524" s="4" t="inlineStr">
        <is>
          <t>MD-1536</t>
        </is>
      </c>
      <c r="B524" s="21" t="n">
        <v>45993</v>
      </c>
      <c r="C524" s="4" t="inlineStr">
        <is>
          <t>Salamanca</t>
        </is>
      </c>
      <c r="D524" s="4" t="n">
        <v>150</v>
      </c>
      <c r="E524" s="4" t="inlineStr">
        <is>
          <t>a reformar</t>
        </is>
      </c>
      <c r="F524" s="22" t="n">
        <v>934000</v>
      </c>
      <c r="G524" s="23" t="n">
        <v>6226.67</v>
      </c>
      <c r="H524" s="22" t="n">
        <v>1106914</v>
      </c>
      <c r="I524" s="23" t="n">
        <v>7379.43</v>
      </c>
      <c r="J524" s="18" t="n">
        <v>-0.1562</v>
      </c>
      <c r="K524" s="24" t="n">
        <v>89.09999999999999</v>
      </c>
      <c r="L524" s="4" t="n">
        <v>5</v>
      </c>
      <c r="M524" s="4" t="inlineStr">
        <is>
          <t>baja</t>
        </is>
      </c>
      <c r="N524" s="4" t="inlineStr">
        <is>
          <t>por debajo de comparables</t>
        </is>
      </c>
      <c r="O524" s="4" t="n"/>
    </row>
    <row r="525">
      <c r="A525" s="4" t="inlineStr">
        <is>
          <t>MD-1541</t>
        </is>
      </c>
      <c r="B525" s="21" t="n">
        <v>45993</v>
      </c>
      <c r="C525" s="4" t="inlineStr">
        <is>
          <t>Fuencarral-El Pardo</t>
        </is>
      </c>
      <c r="D525" s="4" t="n">
        <v>91</v>
      </c>
      <c r="E525" s="4" t="inlineStr">
        <is>
          <t>buen estado</t>
        </is>
      </c>
      <c r="F525" s="22" t="n">
        <v>520000</v>
      </c>
      <c r="G525" s="23" t="n">
        <v>5714.29</v>
      </c>
      <c r="H525" s="22" t="n">
        <v>531798</v>
      </c>
      <c r="I525" s="23" t="n">
        <v>5843.94</v>
      </c>
      <c r="J525" s="18" t="n">
        <v>-0.0222</v>
      </c>
      <c r="K525" s="24" t="n">
        <v>55.5</v>
      </c>
      <c r="L525" s="4" t="n">
        <v>12</v>
      </c>
      <c r="M525" s="4" t="inlineStr">
        <is>
          <t>media</t>
        </is>
      </c>
      <c r="N525" s="4" t="inlineStr">
        <is>
          <t>en linea con comparables</t>
        </is>
      </c>
      <c r="O525" s="4" t="n"/>
    </row>
    <row r="526">
      <c r="A526" s="4" t="inlineStr">
        <is>
          <t>MD-1748</t>
        </is>
      </c>
      <c r="B526" s="21" t="n">
        <v>45993</v>
      </c>
      <c r="C526" s="4" t="inlineStr">
        <is>
          <t>Ciudad Lineal</t>
        </is>
      </c>
      <c r="D526" s="4" t="n">
        <v>186</v>
      </c>
      <c r="E526" s="4" t="inlineStr">
        <is>
          <t>buen estado</t>
        </is>
      </c>
      <c r="F526" s="22" t="n">
        <v>605000</v>
      </c>
      <c r="G526" s="23" t="n">
        <v>3252.69</v>
      </c>
      <c r="H526" s="22" t="n"/>
      <c r="I526" s="23" t="n"/>
      <c r="J526" s="18" t="n"/>
      <c r="K526" s="24" t="n"/>
      <c r="L526" s="4" t="n">
        <v>4</v>
      </c>
      <c r="M526" s="4" t="inlineStr">
        <is>
          <t>sin muestra</t>
        </is>
      </c>
      <c r="N526" s="4" t="inlineStr">
        <is>
          <t>no valorable</t>
        </is>
      </c>
      <c r="O526" s="4" t="inlineStr">
        <is>
          <t>segmento con pocas operaciones comparables</t>
        </is>
      </c>
    </row>
    <row r="527">
      <c r="A527" s="4" t="inlineStr">
        <is>
          <t>MD-0759</t>
        </is>
      </c>
      <c r="B527" s="21" t="n">
        <v>45993</v>
      </c>
      <c r="C527" s="4" t="inlineStr">
        <is>
          <t>Barajas</t>
        </is>
      </c>
      <c r="D527" s="4" t="n">
        <v>95</v>
      </c>
      <c r="E527" s="4" t="inlineStr">
        <is>
          <t>a reformar</t>
        </is>
      </c>
      <c r="F527" s="22" t="n">
        <v>276000</v>
      </c>
      <c r="G527" s="23" t="n">
        <v>2905.26</v>
      </c>
      <c r="H527" s="22" t="n"/>
      <c r="I527" s="23" t="n"/>
      <c r="J527" s="18" t="n"/>
      <c r="K527" s="24" t="n"/>
      <c r="L527" s="4" t="n">
        <v>3</v>
      </c>
      <c r="M527" s="4" t="inlineStr">
        <is>
          <t>sin muestra</t>
        </is>
      </c>
      <c r="N527" s="4" t="inlineStr">
        <is>
          <t>no valorable</t>
        </is>
      </c>
      <c r="O527" s="4" t="inlineStr">
        <is>
          <t>segmento con pocas operaciones comparables</t>
        </is>
      </c>
    </row>
    <row r="528">
      <c r="A528" s="4" t="inlineStr">
        <is>
          <t>MD-0852</t>
        </is>
      </c>
      <c r="B528" s="21" t="n">
        <v>45994</v>
      </c>
      <c r="C528" s="4" t="inlineStr">
        <is>
          <t>Moncloa-Aravaca</t>
        </is>
      </c>
      <c r="D528" s="4" t="n">
        <v>158</v>
      </c>
      <c r="E528" s="4" t="inlineStr">
        <is>
          <t>a reformar</t>
        </is>
      </c>
      <c r="F528" s="22" t="n">
        <v>690000</v>
      </c>
      <c r="G528" s="23" t="n">
        <v>4367.09</v>
      </c>
      <c r="H528" s="22" t="n"/>
      <c r="I528" s="23" t="n"/>
      <c r="J528" s="18" t="n"/>
      <c r="K528" s="24" t="n"/>
      <c r="L528" s="4" t="n">
        <v>2</v>
      </c>
      <c r="M528" s="4" t="inlineStr">
        <is>
          <t>sin muestra</t>
        </is>
      </c>
      <c r="N528" s="4" t="inlineStr">
        <is>
          <t>no valorable</t>
        </is>
      </c>
      <c r="O528" s="4" t="inlineStr">
        <is>
          <t>segmento con pocas operaciones comparables</t>
        </is>
      </c>
    </row>
    <row r="529">
      <c r="A529" s="4" t="inlineStr">
        <is>
          <t>MD-0150</t>
        </is>
      </c>
      <c r="B529" s="21" t="n">
        <v>45994</v>
      </c>
      <c r="C529" s="4" t="inlineStr">
        <is>
          <t>Ciudad Lineal</t>
        </is>
      </c>
      <c r="D529" s="4" t="n">
        <v>60</v>
      </c>
      <c r="E529" s="4" t="inlineStr">
        <is>
          <t>a reformar</t>
        </is>
      </c>
      <c r="F529" s="22" t="n">
        <v>239000</v>
      </c>
      <c r="G529" s="23" t="n">
        <v>3983.33</v>
      </c>
      <c r="H529" s="22" t="n">
        <v>227414</v>
      </c>
      <c r="I529" s="23" t="n">
        <v>3790.23</v>
      </c>
      <c r="J529" s="18" t="n">
        <v>0.0509</v>
      </c>
      <c r="K529" s="24" t="n">
        <v>37.3</v>
      </c>
      <c r="L529" s="4" t="n">
        <v>10</v>
      </c>
      <c r="M529" s="4" t="inlineStr">
        <is>
          <t>media</t>
        </is>
      </c>
      <c r="N529" s="4" t="inlineStr">
        <is>
          <t>en linea con comparables</t>
        </is>
      </c>
      <c r="O529" s="4" t="n"/>
    </row>
    <row r="530">
      <c r="A530" s="4" t="inlineStr">
        <is>
          <t>MD-0539</t>
        </is>
      </c>
      <c r="B530" s="21" t="n">
        <v>45994</v>
      </c>
      <c r="C530" s="4" t="inlineStr">
        <is>
          <t>Ciudad Lineal</t>
        </is>
      </c>
      <c r="D530" s="4" t="n">
        <v>66</v>
      </c>
      <c r="E530" s="4" t="inlineStr">
        <is>
          <t>buen estado</t>
        </is>
      </c>
      <c r="F530" s="22" t="n">
        <v>347000</v>
      </c>
      <c r="G530" s="23" t="n">
        <v>5257.58</v>
      </c>
      <c r="H530" s="22" t="n">
        <v>312385</v>
      </c>
      <c r="I530" s="23" t="n">
        <v>4733.1</v>
      </c>
      <c r="J530" s="18" t="n">
        <v>0.1108</v>
      </c>
      <c r="K530" s="24" t="n">
        <v>22.3</v>
      </c>
      <c r="L530" s="4" t="n">
        <v>10</v>
      </c>
      <c r="M530" s="4" t="inlineStr">
        <is>
          <t>media</t>
        </is>
      </c>
      <c r="N530" s="4" t="inlineStr">
        <is>
          <t>por encima de comparables</t>
        </is>
      </c>
      <c r="O530" s="4" t="n"/>
    </row>
    <row r="531">
      <c r="A531" s="4" t="inlineStr">
        <is>
          <t>MD-1815</t>
        </is>
      </c>
      <c r="B531" s="21" t="n">
        <v>45994</v>
      </c>
      <c r="C531" s="4" t="inlineStr">
        <is>
          <t>Chamberi</t>
        </is>
      </c>
      <c r="D531" s="4" t="n">
        <v>88</v>
      </c>
      <c r="E531" s="4" t="inlineStr">
        <is>
          <t>buen estado</t>
        </is>
      </c>
      <c r="F531" s="22" t="n">
        <v>805000</v>
      </c>
      <c r="G531" s="23" t="n">
        <v>9147.73</v>
      </c>
      <c r="H531" s="22" t="n">
        <v>758515</v>
      </c>
      <c r="I531" s="23" t="n">
        <v>8619.49</v>
      </c>
      <c r="J531" s="18" t="n">
        <v>0.0613</v>
      </c>
      <c r="K531" s="24" t="n">
        <v>34.7</v>
      </c>
      <c r="L531" s="4" t="n">
        <v>10</v>
      </c>
      <c r="M531" s="4" t="inlineStr">
        <is>
          <t>media</t>
        </is>
      </c>
      <c r="N531" s="4" t="inlineStr">
        <is>
          <t>en linea con comparables</t>
        </is>
      </c>
      <c r="O531" s="4" t="n"/>
    </row>
    <row r="532">
      <c r="A532" s="4" t="inlineStr">
        <is>
          <t>MD-1695</t>
        </is>
      </c>
      <c r="B532" s="21" t="n">
        <v>45994</v>
      </c>
      <c r="C532" s="4" t="inlineStr">
        <is>
          <t>Moncloa-Aravaca</t>
        </is>
      </c>
      <c r="D532" s="4" t="n">
        <v>166</v>
      </c>
      <c r="E532" s="4" t="inlineStr">
        <is>
          <t>buen estado</t>
        </is>
      </c>
      <c r="F532" s="22" t="n">
        <v>977000</v>
      </c>
      <c r="G532" s="23" t="n">
        <v>5885.54</v>
      </c>
      <c r="H532" s="22" t="n"/>
      <c r="I532" s="23" t="n"/>
      <c r="J532" s="18" t="n"/>
      <c r="K532" s="24" t="n"/>
      <c r="L532" s="4" t="n">
        <v>1</v>
      </c>
      <c r="M532" s="4" t="inlineStr">
        <is>
          <t>sin muestra</t>
        </is>
      </c>
      <c r="N532" s="4" t="inlineStr">
        <is>
          <t>no valorable</t>
        </is>
      </c>
      <c r="O532" s="4" t="inlineStr">
        <is>
          <t>segmento con pocas operaciones comparables</t>
        </is>
      </c>
    </row>
    <row r="533">
      <c r="A533" s="4" t="inlineStr">
        <is>
          <t>MD-1478</t>
        </is>
      </c>
      <c r="B533" s="21" t="n">
        <v>45994</v>
      </c>
      <c r="C533" s="4" t="inlineStr">
        <is>
          <t>Carabanchel</t>
        </is>
      </c>
      <c r="D533" s="4" t="n">
        <v>53</v>
      </c>
      <c r="E533" s="4" t="inlineStr">
        <is>
          <t>reformado</t>
        </is>
      </c>
      <c r="F533" s="22" t="n">
        <v>181000</v>
      </c>
      <c r="G533" s="23" t="n">
        <v>3415.09</v>
      </c>
      <c r="H533" s="22" t="n">
        <v>190266</v>
      </c>
      <c r="I533" s="23" t="n">
        <v>3589.93</v>
      </c>
      <c r="J533" s="18" t="n">
        <v>-0.0487</v>
      </c>
      <c r="K533" s="24" t="n">
        <v>62.2</v>
      </c>
      <c r="L533" s="4" t="n">
        <v>12</v>
      </c>
      <c r="M533" s="4" t="inlineStr">
        <is>
          <t>media</t>
        </is>
      </c>
      <c r="N533" s="4" t="inlineStr">
        <is>
          <t>en linea con comparables</t>
        </is>
      </c>
      <c r="O533" s="4" t="n"/>
    </row>
    <row r="534">
      <c r="A534" s="4" t="inlineStr">
        <is>
          <t>MD-1381</t>
        </is>
      </c>
      <c r="B534" s="21" t="n">
        <v>45994</v>
      </c>
      <c r="C534" s="4" t="inlineStr">
        <is>
          <t>Ciudad Lineal</t>
        </is>
      </c>
      <c r="D534" s="4" t="n">
        <v>60</v>
      </c>
      <c r="E534" s="4" t="inlineStr">
        <is>
          <t>reformado</t>
        </is>
      </c>
      <c r="F534" s="22" t="n">
        <v>323000</v>
      </c>
      <c r="G534" s="23" t="n">
        <v>5383.33</v>
      </c>
      <c r="H534" s="22" t="n">
        <v>290259</v>
      </c>
      <c r="I534" s="23" t="n">
        <v>4837.65</v>
      </c>
      <c r="J534" s="18" t="n">
        <v>0.1128</v>
      </c>
      <c r="K534" s="24" t="n">
        <v>21.8</v>
      </c>
      <c r="L534" s="4" t="n">
        <v>10</v>
      </c>
      <c r="M534" s="4" t="inlineStr">
        <is>
          <t>media</t>
        </is>
      </c>
      <c r="N534" s="4" t="inlineStr">
        <is>
          <t>por encima de comparables</t>
        </is>
      </c>
      <c r="O534" s="4" t="n"/>
    </row>
    <row r="535">
      <c r="A535" s="4" t="inlineStr">
        <is>
          <t>MD-0814</t>
        </is>
      </c>
      <c r="B535" s="21" t="n">
        <v>45994</v>
      </c>
      <c r="C535" s="4" t="inlineStr">
        <is>
          <t>Arganzuela</t>
        </is>
      </c>
      <c r="D535" s="4" t="n">
        <v>63</v>
      </c>
      <c r="E535" s="4" t="inlineStr">
        <is>
          <t>reformado</t>
        </is>
      </c>
      <c r="F535" s="22" t="n">
        <v>342000</v>
      </c>
      <c r="G535" s="23" t="n">
        <v>5428.57</v>
      </c>
      <c r="H535" s="22" t="n">
        <v>478600</v>
      </c>
      <c r="I535" s="23" t="n">
        <v>7596.82</v>
      </c>
      <c r="J535" s="18" t="n">
        <v>-0.2854</v>
      </c>
      <c r="K535" s="24" t="n">
        <v>100</v>
      </c>
      <c r="L535" s="4" t="n">
        <v>6</v>
      </c>
      <c r="M535" s="4" t="inlineStr">
        <is>
          <t>baja</t>
        </is>
      </c>
      <c r="N535" s="4" t="inlineStr">
        <is>
          <t>por debajo de comparables</t>
        </is>
      </c>
      <c r="O535" s="4" t="n"/>
    </row>
    <row r="536">
      <c r="A536" s="4" t="inlineStr">
        <is>
          <t>MD-0888</t>
        </is>
      </c>
      <c r="B536" s="21" t="n">
        <v>45994</v>
      </c>
      <c r="C536" s="4" t="inlineStr">
        <is>
          <t>San Blas-Canillejas</t>
        </is>
      </c>
      <c r="D536" s="4" t="n">
        <v>96</v>
      </c>
      <c r="E536" s="4" t="inlineStr">
        <is>
          <t>reformado</t>
        </is>
      </c>
      <c r="F536" s="22" t="n">
        <v>366000</v>
      </c>
      <c r="G536" s="23" t="n">
        <v>3812.5</v>
      </c>
      <c r="H536" s="22" t="n"/>
      <c r="I536" s="23" t="n"/>
      <c r="J536" s="18" t="n"/>
      <c r="K536" s="24" t="n"/>
      <c r="L536" s="4" t="n">
        <v>4</v>
      </c>
      <c r="M536" s="4" t="inlineStr">
        <is>
          <t>sin muestra</t>
        </is>
      </c>
      <c r="N536" s="4" t="inlineStr">
        <is>
          <t>no valorable</t>
        </is>
      </c>
      <c r="O536" s="4" t="inlineStr">
        <is>
          <t>segmento con pocas operaciones comparables</t>
        </is>
      </c>
    </row>
    <row r="537">
      <c r="A537" s="4" t="inlineStr">
        <is>
          <t>MD-0926</t>
        </is>
      </c>
      <c r="B537" s="21" t="n">
        <v>45995</v>
      </c>
      <c r="C537" s="4" t="inlineStr">
        <is>
          <t>Puente de Vallecas</t>
        </is>
      </c>
      <c r="D537" s="4" t="n">
        <v>32</v>
      </c>
      <c r="E537" s="4" t="inlineStr">
        <is>
          <t>buen estado</t>
        </is>
      </c>
      <c r="F537" s="22" t="n">
        <v>88000</v>
      </c>
      <c r="G537" s="23" t="n">
        <v>2750</v>
      </c>
      <c r="H537" s="22" t="n"/>
      <c r="I537" s="23" t="n"/>
      <c r="J537" s="18" t="n"/>
      <c r="K537" s="24" t="n"/>
      <c r="L537" s="4" t="n">
        <v>3</v>
      </c>
      <c r="M537" s="4" t="inlineStr">
        <is>
          <t>sin muestra</t>
        </is>
      </c>
      <c r="N537" s="4" t="inlineStr">
        <is>
          <t>no valorable</t>
        </is>
      </c>
      <c r="O537" s="4" t="inlineStr">
        <is>
          <t>segmento con pocas operaciones comparables</t>
        </is>
      </c>
    </row>
    <row r="538">
      <c r="A538" s="4" t="inlineStr">
        <is>
          <t>MD-0776</t>
        </is>
      </c>
      <c r="B538" s="21" t="n">
        <v>45995</v>
      </c>
      <c r="C538" s="4" t="inlineStr">
        <is>
          <t>San Blas-Canillejas</t>
        </is>
      </c>
      <c r="D538" s="4" t="n">
        <v>44</v>
      </c>
      <c r="E538" s="4" t="inlineStr">
        <is>
          <t>buen estado</t>
        </is>
      </c>
      <c r="F538" s="22" t="n">
        <v>134000</v>
      </c>
      <c r="G538" s="23" t="n">
        <v>3045.45</v>
      </c>
      <c r="H538" s="22" t="n">
        <v>158302</v>
      </c>
      <c r="I538" s="23" t="n">
        <v>3597.77</v>
      </c>
      <c r="J538" s="18" t="n">
        <v>-0.1535</v>
      </c>
      <c r="K538" s="24" t="n">
        <v>88.40000000000001</v>
      </c>
      <c r="L538" s="4" t="n">
        <v>8</v>
      </c>
      <c r="M538" s="4" t="inlineStr">
        <is>
          <t>media</t>
        </is>
      </c>
      <c r="N538" s="4" t="inlineStr">
        <is>
          <t>por debajo de comparables</t>
        </is>
      </c>
      <c r="O538" s="4" t="n"/>
    </row>
    <row r="539">
      <c r="A539" s="4" t="inlineStr">
        <is>
          <t>MD-1111</t>
        </is>
      </c>
      <c r="B539" s="21" t="n">
        <v>45995</v>
      </c>
      <c r="C539" s="4" t="inlineStr">
        <is>
          <t>Tetuan</t>
        </is>
      </c>
      <c r="D539" s="4" t="n">
        <v>138</v>
      </c>
      <c r="E539" s="4" t="inlineStr">
        <is>
          <t>reformado</t>
        </is>
      </c>
      <c r="F539" s="22" t="n">
        <v>786000</v>
      </c>
      <c r="G539" s="23" t="n">
        <v>5695.65</v>
      </c>
      <c r="H539" s="22" t="n"/>
      <c r="I539" s="23" t="n"/>
      <c r="J539" s="18" t="n"/>
      <c r="K539" s="24" t="n"/>
      <c r="L539" s="4" t="n">
        <v>1</v>
      </c>
      <c r="M539" s="4" t="inlineStr">
        <is>
          <t>sin muestra</t>
        </is>
      </c>
      <c r="N539" s="4" t="inlineStr">
        <is>
          <t>no valorable</t>
        </is>
      </c>
      <c r="O539" s="4" t="inlineStr">
        <is>
          <t>segmento con pocas operaciones comparables</t>
        </is>
      </c>
    </row>
    <row r="540">
      <c r="A540" s="4" t="inlineStr">
        <is>
          <t>MD-1161</t>
        </is>
      </c>
      <c r="B540" s="21" t="n">
        <v>45995</v>
      </c>
      <c r="C540" s="4" t="inlineStr">
        <is>
          <t>Moratalaz</t>
        </is>
      </c>
      <c r="D540" s="4" t="n">
        <v>62</v>
      </c>
      <c r="E540" s="4" t="inlineStr">
        <is>
          <t>a reformar</t>
        </is>
      </c>
      <c r="F540" s="22" t="n">
        <v>247000</v>
      </c>
      <c r="G540" s="23" t="n">
        <v>3983.87</v>
      </c>
      <c r="H540" s="22" t="n"/>
      <c r="I540" s="23" t="n"/>
      <c r="J540" s="18" t="n"/>
      <c r="K540" s="24" t="n"/>
      <c r="L540" s="4" t="n">
        <v>2</v>
      </c>
      <c r="M540" s="4" t="inlineStr">
        <is>
          <t>sin muestra</t>
        </is>
      </c>
      <c r="N540" s="4" t="inlineStr">
        <is>
          <t>no valorable</t>
        </is>
      </c>
      <c r="O540" s="4" t="inlineStr">
        <is>
          <t>segmento con pocas operaciones comparables</t>
        </is>
      </c>
    </row>
    <row r="541">
      <c r="A541" s="4" t="inlineStr">
        <is>
          <t>MD-0900</t>
        </is>
      </c>
      <c r="B541" s="21" t="n">
        <v>45995</v>
      </c>
      <c r="C541" s="4" t="inlineStr">
        <is>
          <t>Carabanchel</t>
        </is>
      </c>
      <c r="D541" s="4" t="n">
        <v>71</v>
      </c>
      <c r="E541" s="4" t="inlineStr">
        <is>
          <t>buen estado</t>
        </is>
      </c>
      <c r="F541" s="22" t="n">
        <v>279000</v>
      </c>
      <c r="G541" s="23" t="n">
        <v>3929.58</v>
      </c>
      <c r="H541" s="22" t="n">
        <v>251402</v>
      </c>
      <c r="I541" s="23" t="n">
        <v>3540.87</v>
      </c>
      <c r="J541" s="18" t="n">
        <v>0.1098</v>
      </c>
      <c r="K541" s="24" t="n">
        <v>22.6</v>
      </c>
      <c r="L541" s="4" t="n">
        <v>12</v>
      </c>
      <c r="M541" s="4" t="inlineStr">
        <is>
          <t>media</t>
        </is>
      </c>
      <c r="N541" s="4" t="inlineStr">
        <is>
          <t>por encima de comparables</t>
        </is>
      </c>
      <c r="O541" s="4" t="n"/>
    </row>
    <row r="542">
      <c r="A542" s="4" t="inlineStr">
        <is>
          <t>MD-0429</t>
        </is>
      </c>
      <c r="B542" s="21" t="n">
        <v>45995</v>
      </c>
      <c r="C542" s="4" t="inlineStr">
        <is>
          <t>Vicalvaro</t>
        </is>
      </c>
      <c r="D542" s="4" t="n">
        <v>65</v>
      </c>
      <c r="E542" s="4" t="inlineStr">
        <is>
          <t>buen estado</t>
        </is>
      </c>
      <c r="F542" s="22" t="n">
        <v>164000</v>
      </c>
      <c r="G542" s="23" t="n">
        <v>2523.08</v>
      </c>
      <c r="H542" s="22" t="n">
        <v>239747</v>
      </c>
      <c r="I542" s="23" t="n">
        <v>3688.42</v>
      </c>
      <c r="J542" s="18" t="n">
        <v>-0.3159</v>
      </c>
      <c r="K542" s="24" t="n">
        <v>100</v>
      </c>
      <c r="L542" s="4" t="n">
        <v>6</v>
      </c>
      <c r="M542" s="4" t="inlineStr">
        <is>
          <t>baja</t>
        </is>
      </c>
      <c r="N542" s="4" t="inlineStr">
        <is>
          <t>por debajo de comparables</t>
        </is>
      </c>
      <c r="O542" s="4" t="n"/>
    </row>
    <row r="543">
      <c r="A543" s="4" t="inlineStr">
        <is>
          <t>MD-0133</t>
        </is>
      </c>
      <c r="B543" s="21" t="n">
        <v>45995</v>
      </c>
      <c r="C543" s="4" t="inlineStr">
        <is>
          <t>Fuencarral-El Pardo</t>
        </is>
      </c>
      <c r="D543" s="4" t="n">
        <v>57</v>
      </c>
      <c r="E543" s="4" t="inlineStr">
        <is>
          <t>buen estado</t>
        </is>
      </c>
      <c r="F543" s="22" t="n">
        <v>434000</v>
      </c>
      <c r="G543" s="23" t="n">
        <v>7614.04</v>
      </c>
      <c r="H543" s="22" t="n">
        <v>300960</v>
      </c>
      <c r="I543" s="23" t="n">
        <v>5280</v>
      </c>
      <c r="J543" s="18" t="n">
        <v>0.4421</v>
      </c>
      <c r="K543" s="24" t="n">
        <v>0</v>
      </c>
      <c r="L543" s="4" t="n">
        <v>9</v>
      </c>
      <c r="M543" s="4" t="inlineStr">
        <is>
          <t>media</t>
        </is>
      </c>
      <c r="N543" s="4" t="inlineStr">
        <is>
          <t>por encima de comparables</t>
        </is>
      </c>
      <c r="O543" s="4" t="n"/>
    </row>
    <row r="544">
      <c r="A544" s="4" t="inlineStr">
        <is>
          <t>MD-1164</t>
        </is>
      </c>
      <c r="B544" s="21" t="n">
        <v>45995</v>
      </c>
      <c r="C544" s="4" t="inlineStr">
        <is>
          <t>Salamanca</t>
        </is>
      </c>
      <c r="D544" s="4" t="n">
        <v>51</v>
      </c>
      <c r="E544" s="4" t="inlineStr">
        <is>
          <t>buen estado</t>
        </is>
      </c>
      <c r="F544" s="22" t="n">
        <v>565000</v>
      </c>
      <c r="G544" s="23" t="n">
        <v>11078.43</v>
      </c>
      <c r="H544" s="22" t="n">
        <v>432811</v>
      </c>
      <c r="I544" s="23" t="n">
        <v>8486.49</v>
      </c>
      <c r="J544" s="18" t="n">
        <v>0.3054</v>
      </c>
      <c r="K544" s="24" t="n">
        <v>0</v>
      </c>
      <c r="L544" s="4" t="n">
        <v>7</v>
      </c>
      <c r="M544" s="4" t="inlineStr">
        <is>
          <t>baja</t>
        </is>
      </c>
      <c r="N544" s="4" t="inlineStr">
        <is>
          <t>por encima de comparables</t>
        </is>
      </c>
      <c r="O544" s="4" t="n"/>
    </row>
    <row r="545">
      <c r="A545" s="4" t="inlineStr">
        <is>
          <t>MD-1443</t>
        </is>
      </c>
      <c r="B545" s="21" t="n">
        <v>45995</v>
      </c>
      <c r="C545" s="4" t="inlineStr">
        <is>
          <t>Latina</t>
        </is>
      </c>
      <c r="D545" s="4" t="n">
        <v>51</v>
      </c>
      <c r="E545" s="4" t="inlineStr">
        <is>
          <t>buen estado</t>
        </is>
      </c>
      <c r="F545" s="22" t="n">
        <v>145000</v>
      </c>
      <c r="G545" s="23" t="n">
        <v>2843.14</v>
      </c>
      <c r="H545" s="22" t="n">
        <v>147876</v>
      </c>
      <c r="I545" s="23" t="n">
        <v>2899.53</v>
      </c>
      <c r="J545" s="18" t="n">
        <v>-0.0194</v>
      </c>
      <c r="K545" s="24" t="n">
        <v>54.9</v>
      </c>
      <c r="L545" s="4" t="n">
        <v>12</v>
      </c>
      <c r="M545" s="4" t="inlineStr">
        <is>
          <t>media</t>
        </is>
      </c>
      <c r="N545" s="4" t="inlineStr">
        <is>
          <t>en linea con comparables</t>
        </is>
      </c>
      <c r="O545" s="4" t="n"/>
    </row>
    <row r="546">
      <c r="A546" s="4" t="inlineStr">
        <is>
          <t>MD-1107</t>
        </is>
      </c>
      <c r="B546" s="21" t="n">
        <v>45995</v>
      </c>
      <c r="C546" s="4" t="inlineStr">
        <is>
          <t>Centro</t>
        </is>
      </c>
      <c r="D546" s="4" t="n">
        <v>49</v>
      </c>
      <c r="E546" s="4" t="inlineStr">
        <is>
          <t>a reformar</t>
        </is>
      </c>
      <c r="F546" s="22" t="n">
        <v>293000</v>
      </c>
      <c r="G546" s="23" t="n">
        <v>5979.59</v>
      </c>
      <c r="H546" s="22" t="n"/>
      <c r="I546" s="23" t="n"/>
      <c r="J546" s="18" t="n"/>
      <c r="K546" s="24" t="n"/>
      <c r="L546" s="4" t="n">
        <v>4</v>
      </c>
      <c r="M546" s="4" t="inlineStr">
        <is>
          <t>sin muestra</t>
        </is>
      </c>
      <c r="N546" s="4" t="inlineStr">
        <is>
          <t>no valorable</t>
        </is>
      </c>
      <c r="O546" s="4" t="inlineStr">
        <is>
          <t>segmento con pocas operaciones comparables</t>
        </is>
      </c>
    </row>
    <row r="547">
      <c r="A547" s="4" t="inlineStr">
        <is>
          <t>MD-0612</t>
        </is>
      </c>
      <c r="B547" s="21" t="n">
        <v>45995</v>
      </c>
      <c r="C547" s="4" t="inlineStr">
        <is>
          <t>Centro</t>
        </is>
      </c>
      <c r="D547" s="4" t="n">
        <v>59</v>
      </c>
      <c r="E547" s="4" t="inlineStr">
        <is>
          <t>reformado</t>
        </is>
      </c>
      <c r="F547" s="22" t="n">
        <v>740000</v>
      </c>
      <c r="G547" s="23" t="n">
        <v>12542.37</v>
      </c>
      <c r="H547" s="22" t="n">
        <v>514316</v>
      </c>
      <c r="I547" s="23" t="n">
        <v>8717.219999999999</v>
      </c>
      <c r="J547" s="18" t="n">
        <v>0.4388</v>
      </c>
      <c r="K547" s="24" t="n">
        <v>0</v>
      </c>
      <c r="L547" s="4" t="n">
        <v>8</v>
      </c>
      <c r="M547" s="4" t="inlineStr">
        <is>
          <t>media</t>
        </is>
      </c>
      <c r="N547" s="4" t="inlineStr">
        <is>
          <t>por encima de comparables</t>
        </is>
      </c>
      <c r="O547" s="4" t="n"/>
    </row>
    <row r="548">
      <c r="A548" s="4" t="inlineStr">
        <is>
          <t>MD-0017</t>
        </is>
      </c>
      <c r="B548" s="21" t="n">
        <v>45996</v>
      </c>
      <c r="C548" s="4" t="inlineStr">
        <is>
          <t>Latina</t>
        </is>
      </c>
      <c r="D548" s="4" t="n">
        <v>48</v>
      </c>
      <c r="E548" s="4" t="inlineStr">
        <is>
          <t>obra nueva</t>
        </is>
      </c>
      <c r="F548" s="22" t="n">
        <v>227000</v>
      </c>
      <c r="G548" s="23" t="n">
        <v>4729.17</v>
      </c>
      <c r="H548" s="22" t="n">
        <v>153102</v>
      </c>
      <c r="I548" s="23" t="n">
        <v>3189.62</v>
      </c>
      <c r="J548" s="18" t="n">
        <v>0.4827</v>
      </c>
      <c r="K548" s="24" t="n">
        <v>0</v>
      </c>
      <c r="L548" s="4" t="n">
        <v>12</v>
      </c>
      <c r="M548" s="4" t="inlineStr">
        <is>
          <t>media</t>
        </is>
      </c>
      <c r="N548" s="4" t="inlineStr">
        <is>
          <t>por encima de comparables</t>
        </is>
      </c>
      <c r="O548" s="4" t="n"/>
    </row>
    <row r="549">
      <c r="A549" s="4" t="inlineStr">
        <is>
          <t>MD-0134</t>
        </is>
      </c>
      <c r="B549" s="21" t="n">
        <v>45996</v>
      </c>
      <c r="C549" s="4" t="inlineStr">
        <is>
          <t>Villa de Vallecas</t>
        </is>
      </c>
      <c r="D549" s="4" t="n">
        <v>142</v>
      </c>
      <c r="E549" s="4" t="inlineStr">
        <is>
          <t>reformado</t>
        </is>
      </c>
      <c r="F549" s="22" t="n">
        <v>527000</v>
      </c>
      <c r="G549" s="23" t="n">
        <v>3711.27</v>
      </c>
      <c r="H549" s="22" t="n"/>
      <c r="I549" s="23" t="n"/>
      <c r="J549" s="18" t="n"/>
      <c r="K549" s="24" t="n"/>
      <c r="L549" s="4" t="n">
        <v>1</v>
      </c>
      <c r="M549" s="4" t="inlineStr">
        <is>
          <t>sin muestra</t>
        </is>
      </c>
      <c r="N549" s="4" t="inlineStr">
        <is>
          <t>no valorable</t>
        </is>
      </c>
      <c r="O549" s="4" t="inlineStr">
        <is>
          <t>segmento con pocas operaciones comparables</t>
        </is>
      </c>
    </row>
    <row r="550">
      <c r="A550" s="4" t="inlineStr">
        <is>
          <t>MD-1760</t>
        </is>
      </c>
      <c r="B550" s="21" t="n">
        <v>45996</v>
      </c>
      <c r="C550" s="4" t="inlineStr">
        <is>
          <t>Ciudad Lineal</t>
        </is>
      </c>
      <c r="D550" s="4" t="n">
        <v>30</v>
      </c>
      <c r="E550" s="4" t="inlineStr">
        <is>
          <t>reformado</t>
        </is>
      </c>
      <c r="F550" s="22" t="n">
        <v>108000</v>
      </c>
      <c r="G550" s="23" t="n">
        <v>3600</v>
      </c>
      <c r="H550" s="22" t="n"/>
      <c r="I550" s="23" t="n"/>
      <c r="J550" s="18" t="n"/>
      <c r="K550" s="24" t="n"/>
      <c r="L550" s="4" t="n">
        <v>0</v>
      </c>
      <c r="M550" s="4" t="inlineStr">
        <is>
          <t>sin muestra</t>
        </is>
      </c>
      <c r="N550" s="4" t="inlineStr">
        <is>
          <t>no valorable</t>
        </is>
      </c>
      <c r="O550" s="4" t="inlineStr">
        <is>
          <t>segmento con pocas operaciones comparables</t>
        </is>
      </c>
    </row>
    <row r="551">
      <c r="A551" s="4" t="inlineStr">
        <is>
          <t>MD-0863</t>
        </is>
      </c>
      <c r="B551" s="21" t="n">
        <v>45996</v>
      </c>
      <c r="C551" s="4" t="inlineStr">
        <is>
          <t>Carabanchel</t>
        </is>
      </c>
      <c r="D551" s="4" t="n">
        <v>122</v>
      </c>
      <c r="E551" s="4" t="inlineStr">
        <is>
          <t>obra nueva</t>
        </is>
      </c>
      <c r="F551" s="22" t="n">
        <v>567000</v>
      </c>
      <c r="G551" s="23" t="n">
        <v>4647.54</v>
      </c>
      <c r="H551" s="22" t="n"/>
      <c r="I551" s="23" t="n"/>
      <c r="J551" s="18" t="n"/>
      <c r="K551" s="24" t="n"/>
      <c r="L551" s="4" t="n">
        <v>3</v>
      </c>
      <c r="M551" s="4" t="inlineStr">
        <is>
          <t>sin muestra</t>
        </is>
      </c>
      <c r="N551" s="4" t="inlineStr">
        <is>
          <t>no valorable</t>
        </is>
      </c>
      <c r="O551" s="4" t="inlineStr">
        <is>
          <t>segmento con pocas operaciones comparables</t>
        </is>
      </c>
    </row>
    <row r="552">
      <c r="A552" s="4" t="inlineStr">
        <is>
          <t>MD-1627</t>
        </is>
      </c>
      <c r="B552" s="21" t="n">
        <v>45996</v>
      </c>
      <c r="C552" s="4" t="inlineStr">
        <is>
          <t>Puente de Vallecas</t>
        </is>
      </c>
      <c r="D552" s="4" t="n">
        <v>50</v>
      </c>
      <c r="E552" s="4" t="inlineStr">
        <is>
          <t>buen estado</t>
        </is>
      </c>
      <c r="F552" s="22" t="n">
        <v>90000</v>
      </c>
      <c r="G552" s="23" t="n">
        <v>1800</v>
      </c>
      <c r="H552" s="22" t="n">
        <v>123748</v>
      </c>
      <c r="I552" s="23" t="n">
        <v>2474.96</v>
      </c>
      <c r="J552" s="18" t="n">
        <v>-0.2727</v>
      </c>
      <c r="K552" s="24" t="n">
        <v>100</v>
      </c>
      <c r="L552" s="4" t="n">
        <v>21</v>
      </c>
      <c r="M552" s="4" t="inlineStr">
        <is>
          <t>alta</t>
        </is>
      </c>
      <c r="N552" s="4" t="inlineStr">
        <is>
          <t>por debajo de comparables</t>
        </is>
      </c>
      <c r="O552" s="4" t="n"/>
    </row>
    <row r="553">
      <c r="A553" s="4" t="inlineStr">
        <is>
          <t>MD-1709</t>
        </is>
      </c>
      <c r="B553" s="21" t="n">
        <v>45996</v>
      </c>
      <c r="C553" s="4" t="inlineStr">
        <is>
          <t>Hortaleza</t>
        </is>
      </c>
      <c r="D553" s="4" t="n">
        <v>144</v>
      </c>
      <c r="E553" s="4" t="inlineStr">
        <is>
          <t>a reformar</t>
        </is>
      </c>
      <c r="F553" s="22" t="n">
        <v>640000</v>
      </c>
      <c r="G553" s="23" t="n">
        <v>4444.44</v>
      </c>
      <c r="H553" s="22" t="n">
        <v>644446</v>
      </c>
      <c r="I553" s="23" t="n">
        <v>4475.32</v>
      </c>
      <c r="J553" s="18" t="n">
        <v>-0.0069</v>
      </c>
      <c r="K553" s="24" t="n">
        <v>51.7</v>
      </c>
      <c r="L553" s="4" t="n">
        <v>6</v>
      </c>
      <c r="M553" s="4" t="inlineStr">
        <is>
          <t>baja</t>
        </is>
      </c>
      <c r="N553" s="4" t="inlineStr">
        <is>
          <t>en linea con comparables</t>
        </is>
      </c>
      <c r="O553" s="4" t="n"/>
    </row>
    <row r="554">
      <c r="A554" s="4" t="inlineStr">
        <is>
          <t>MD-0518</t>
        </is>
      </c>
      <c r="B554" s="21" t="n">
        <v>45996</v>
      </c>
      <c r="C554" s="4" t="inlineStr">
        <is>
          <t>Barajas</t>
        </is>
      </c>
      <c r="D554" s="4" t="n">
        <v>84</v>
      </c>
      <c r="E554" s="4" t="inlineStr">
        <is>
          <t>reformado</t>
        </is>
      </c>
      <c r="F554" s="22" t="n">
        <v>374000</v>
      </c>
      <c r="G554" s="23" t="n">
        <v>4452.38</v>
      </c>
      <c r="H554" s="22" t="n"/>
      <c r="I554" s="23" t="n"/>
      <c r="J554" s="18" t="n"/>
      <c r="K554" s="24" t="n"/>
      <c r="L554" s="4" t="n">
        <v>4</v>
      </c>
      <c r="M554" s="4" t="inlineStr">
        <is>
          <t>sin muestra</t>
        </is>
      </c>
      <c r="N554" s="4" t="inlineStr">
        <is>
          <t>no valorable</t>
        </is>
      </c>
      <c r="O554" s="4" t="inlineStr">
        <is>
          <t>segmento con pocas operaciones comparables</t>
        </is>
      </c>
    </row>
    <row r="555">
      <c r="A555" s="4" t="inlineStr">
        <is>
          <t>MD-1596</t>
        </is>
      </c>
      <c r="B555" s="21" t="n">
        <v>45997</v>
      </c>
      <c r="C555" s="4" t="inlineStr">
        <is>
          <t>Chamartin</t>
        </is>
      </c>
      <c r="D555" s="4" t="n">
        <v>47</v>
      </c>
      <c r="E555" s="4" t="inlineStr">
        <is>
          <t>a reformar</t>
        </is>
      </c>
      <c r="F555" s="22" t="n">
        <v>232000</v>
      </c>
      <c r="G555" s="23" t="n">
        <v>4936.17</v>
      </c>
      <c r="H555" s="22" t="n"/>
      <c r="I555" s="23" t="n"/>
      <c r="J555" s="18" t="n"/>
      <c r="K555" s="24" t="n"/>
      <c r="L555" s="4" t="n">
        <v>3</v>
      </c>
      <c r="M555" s="4" t="inlineStr">
        <is>
          <t>sin muestra</t>
        </is>
      </c>
      <c r="N555" s="4" t="inlineStr">
        <is>
          <t>no valorable</t>
        </is>
      </c>
      <c r="O555" s="4" t="inlineStr">
        <is>
          <t>segmento con pocas operaciones comparables</t>
        </is>
      </c>
    </row>
    <row r="556">
      <c r="A556" s="4" t="inlineStr">
        <is>
          <t>MD-1213</t>
        </is>
      </c>
      <c r="B556" s="21" t="n">
        <v>45997</v>
      </c>
      <c r="C556" s="4" t="inlineStr">
        <is>
          <t>Moratalaz</t>
        </is>
      </c>
      <c r="D556" s="4" t="n">
        <v>86</v>
      </c>
      <c r="E556" s="4" t="inlineStr">
        <is>
          <t>reformado</t>
        </is>
      </c>
      <c r="F556" s="22" t="n">
        <v>302000</v>
      </c>
      <c r="G556" s="23" t="n">
        <v>3511.63</v>
      </c>
      <c r="H556" s="22" t="n">
        <v>347230</v>
      </c>
      <c r="I556" s="23" t="n">
        <v>4037.56</v>
      </c>
      <c r="J556" s="18" t="n">
        <v>-0.1303</v>
      </c>
      <c r="K556" s="24" t="n">
        <v>82.59999999999999</v>
      </c>
      <c r="L556" s="4" t="n">
        <v>6</v>
      </c>
      <c r="M556" s="4" t="inlineStr">
        <is>
          <t>baja</t>
        </is>
      </c>
      <c r="N556" s="4" t="inlineStr">
        <is>
          <t>por debajo de comparables</t>
        </is>
      </c>
      <c r="O556" s="4" t="n"/>
    </row>
    <row r="557">
      <c r="A557" s="4" t="inlineStr">
        <is>
          <t>MD-1343</t>
        </is>
      </c>
      <c r="B557" s="21" t="n">
        <v>45997</v>
      </c>
      <c r="C557" s="4" t="inlineStr">
        <is>
          <t>Salamanca</t>
        </is>
      </c>
      <c r="D557" s="4" t="n">
        <v>58</v>
      </c>
      <c r="E557" s="4" t="inlineStr">
        <is>
          <t>reformado</t>
        </is>
      </c>
      <c r="F557" s="22" t="n">
        <v>536000</v>
      </c>
      <c r="G557" s="23" t="n">
        <v>9241.379999999999</v>
      </c>
      <c r="H557" s="22" t="n">
        <v>452311</v>
      </c>
      <c r="I557" s="23" t="n">
        <v>7798.46</v>
      </c>
      <c r="J557" s="18" t="n">
        <v>0.185</v>
      </c>
      <c r="K557" s="24" t="n">
        <v>3.7</v>
      </c>
      <c r="L557" s="4" t="n">
        <v>8</v>
      </c>
      <c r="M557" s="4" t="inlineStr">
        <is>
          <t>media</t>
        </is>
      </c>
      <c r="N557" s="4" t="inlineStr">
        <is>
          <t>por encima de comparables</t>
        </is>
      </c>
      <c r="O557" s="4" t="n"/>
    </row>
    <row r="558">
      <c r="A558" s="4" t="inlineStr">
        <is>
          <t>MD-0482</t>
        </is>
      </c>
      <c r="B558" s="21" t="n">
        <v>45997</v>
      </c>
      <c r="C558" s="4" t="inlineStr">
        <is>
          <t>Villaverde</t>
        </is>
      </c>
      <c r="D558" s="4" t="n">
        <v>64</v>
      </c>
      <c r="E558" s="4" t="inlineStr">
        <is>
          <t>buen estado</t>
        </is>
      </c>
      <c r="F558" s="22" t="n">
        <v>140000</v>
      </c>
      <c r="G558" s="23" t="n">
        <v>2187.5</v>
      </c>
      <c r="H558" s="22" t="n"/>
      <c r="I558" s="23" t="n"/>
      <c r="J558" s="18" t="n"/>
      <c r="K558" s="24" t="n"/>
      <c r="L558" s="4" t="n">
        <v>0</v>
      </c>
      <c r="M558" s="4" t="inlineStr">
        <is>
          <t>sin muestra</t>
        </is>
      </c>
      <c r="N558" s="4" t="inlineStr">
        <is>
          <t>no valorable</t>
        </is>
      </c>
      <c r="O558" s="4" t="inlineStr">
        <is>
          <t>segmento con pocas operaciones comparables</t>
        </is>
      </c>
    </row>
    <row r="559">
      <c r="A559" s="4" t="inlineStr">
        <is>
          <t>MD-1920</t>
        </is>
      </c>
      <c r="B559" s="21" t="n">
        <v>45997</v>
      </c>
      <c r="C559" s="4" t="inlineStr">
        <is>
          <t>Moncloa-Aravaca</t>
        </is>
      </c>
      <c r="D559" s="4" t="n">
        <v>134</v>
      </c>
      <c r="E559" s="4" t="inlineStr">
        <is>
          <t>a reformar</t>
        </is>
      </c>
      <c r="F559" s="22" t="n">
        <v>814000</v>
      </c>
      <c r="G559" s="23" t="n">
        <v>6074.63</v>
      </c>
      <c r="H559" s="22" t="n"/>
      <c r="I559" s="23" t="n"/>
      <c r="J559" s="18" t="n"/>
      <c r="K559" s="24" t="n"/>
      <c r="L559" s="4" t="n">
        <v>2</v>
      </c>
      <c r="M559" s="4" t="inlineStr">
        <is>
          <t>sin muestra</t>
        </is>
      </c>
      <c r="N559" s="4" t="inlineStr">
        <is>
          <t>no valorable</t>
        </is>
      </c>
      <c r="O559" s="4" t="inlineStr">
        <is>
          <t>segmento con pocas operaciones comparables</t>
        </is>
      </c>
    </row>
    <row r="560">
      <c r="A560" s="4" t="inlineStr">
        <is>
          <t>MD-1501</t>
        </is>
      </c>
      <c r="B560" s="21" t="n">
        <v>45998</v>
      </c>
      <c r="C560" s="4" t="inlineStr">
        <is>
          <t>San Blas-Canillejas</t>
        </is>
      </c>
      <c r="D560" s="4" t="n">
        <v>84</v>
      </c>
      <c r="E560" s="4" t="inlineStr">
        <is>
          <t>a reformar</t>
        </is>
      </c>
      <c r="F560" s="22" t="n">
        <v>247000</v>
      </c>
      <c r="G560" s="23" t="n">
        <v>2940.48</v>
      </c>
      <c r="H560" s="22" t="n">
        <v>248361</v>
      </c>
      <c r="I560" s="23" t="n">
        <v>2956.68</v>
      </c>
      <c r="J560" s="18" t="n">
        <v>-0.0055</v>
      </c>
      <c r="K560" s="24" t="n">
        <v>51.4</v>
      </c>
      <c r="L560" s="4" t="n">
        <v>8</v>
      </c>
      <c r="M560" s="4" t="inlineStr">
        <is>
          <t>media</t>
        </is>
      </c>
      <c r="N560" s="4" t="inlineStr">
        <is>
          <t>en linea con comparables</t>
        </is>
      </c>
      <c r="O560" s="4" t="n"/>
    </row>
    <row r="561">
      <c r="A561" s="4" t="inlineStr">
        <is>
          <t>MD-1270</t>
        </is>
      </c>
      <c r="B561" s="21" t="n">
        <v>45998</v>
      </c>
      <c r="C561" s="4" t="inlineStr">
        <is>
          <t>Arganzuela</t>
        </is>
      </c>
      <c r="D561" s="4" t="n">
        <v>68</v>
      </c>
      <c r="E561" s="4" t="inlineStr">
        <is>
          <t>reformado</t>
        </is>
      </c>
      <c r="F561" s="22" t="n">
        <v>408000</v>
      </c>
      <c r="G561" s="23" t="n">
        <v>6000</v>
      </c>
      <c r="H561" s="22" t="n">
        <v>495035</v>
      </c>
      <c r="I561" s="23" t="n">
        <v>7279.93</v>
      </c>
      <c r="J561" s="18" t="n">
        <v>-0.1758</v>
      </c>
      <c r="K561" s="24" t="n">
        <v>94</v>
      </c>
      <c r="L561" s="4" t="n">
        <v>9</v>
      </c>
      <c r="M561" s="4" t="inlineStr">
        <is>
          <t>media</t>
        </is>
      </c>
      <c r="N561" s="4" t="inlineStr">
        <is>
          <t>por debajo de comparables</t>
        </is>
      </c>
      <c r="O561" s="4" t="n"/>
    </row>
    <row r="562">
      <c r="A562" s="4" t="inlineStr">
        <is>
          <t>MD-0270</t>
        </is>
      </c>
      <c r="B562" s="21" t="n">
        <v>45998</v>
      </c>
      <c r="C562" s="4" t="inlineStr">
        <is>
          <t>Chamartin</t>
        </is>
      </c>
      <c r="D562" s="4" t="n">
        <v>47</v>
      </c>
      <c r="E562" s="4" t="inlineStr">
        <is>
          <t>buen estado</t>
        </is>
      </c>
      <c r="F562" s="22" t="n">
        <v>345000</v>
      </c>
      <c r="G562" s="23" t="n">
        <v>7340.43</v>
      </c>
      <c r="H562" s="22" t="n"/>
      <c r="I562" s="23" t="n"/>
      <c r="J562" s="18" t="n"/>
      <c r="K562" s="24" t="n"/>
      <c r="L562" s="4" t="n">
        <v>4</v>
      </c>
      <c r="M562" s="4" t="inlineStr">
        <is>
          <t>sin muestra</t>
        </is>
      </c>
      <c r="N562" s="4" t="inlineStr">
        <is>
          <t>no valorable</t>
        </is>
      </c>
      <c r="O562" s="4" t="inlineStr">
        <is>
          <t>segmento con pocas operaciones comparables</t>
        </is>
      </c>
    </row>
    <row r="563">
      <c r="A563" s="4" t="inlineStr">
        <is>
          <t>MD-0638</t>
        </is>
      </c>
      <c r="B563" s="21" t="n">
        <v>45998</v>
      </c>
      <c r="C563" s="4" t="inlineStr">
        <is>
          <t>Carabanchel</t>
        </is>
      </c>
      <c r="D563" s="4" t="n">
        <v>52</v>
      </c>
      <c r="E563" s="4" t="inlineStr">
        <is>
          <t>reformado</t>
        </is>
      </c>
      <c r="F563" s="22" t="n">
        <v>198000</v>
      </c>
      <c r="G563" s="23" t="n">
        <v>3807.69</v>
      </c>
      <c r="H563" s="22" t="n">
        <v>186123</v>
      </c>
      <c r="I563" s="23" t="n">
        <v>3579.28</v>
      </c>
      <c r="J563" s="18" t="n">
        <v>0.0638</v>
      </c>
      <c r="K563" s="24" t="n">
        <v>34</v>
      </c>
      <c r="L563" s="4" t="n">
        <v>12</v>
      </c>
      <c r="M563" s="4" t="inlineStr">
        <is>
          <t>media</t>
        </is>
      </c>
      <c r="N563" s="4" t="inlineStr">
        <is>
          <t>en linea con comparables</t>
        </is>
      </c>
      <c r="O563" s="4" t="n"/>
    </row>
    <row r="564">
      <c r="A564" s="4" t="inlineStr">
        <is>
          <t>MD-1990</t>
        </is>
      </c>
      <c r="B564" s="21" t="n">
        <v>45998</v>
      </c>
      <c r="C564" s="4" t="inlineStr">
        <is>
          <t>Arganzuela</t>
        </is>
      </c>
      <c r="D564" s="4" t="n">
        <v>64</v>
      </c>
      <c r="E564" s="4" t="inlineStr">
        <is>
          <t>a reformar</t>
        </is>
      </c>
      <c r="F564" s="22" t="n">
        <v>277000</v>
      </c>
      <c r="G564" s="23" t="n">
        <v>4328.12</v>
      </c>
      <c r="H564" s="22" t="n">
        <v>323582</v>
      </c>
      <c r="I564" s="23" t="n">
        <v>5055.98</v>
      </c>
      <c r="J564" s="18" t="n">
        <v>-0.144</v>
      </c>
      <c r="K564" s="24" t="n">
        <v>86</v>
      </c>
      <c r="L564" s="4" t="n">
        <v>8</v>
      </c>
      <c r="M564" s="4" t="inlineStr">
        <is>
          <t>media</t>
        </is>
      </c>
      <c r="N564" s="4" t="inlineStr">
        <is>
          <t>por debajo de comparables</t>
        </is>
      </c>
      <c r="O564" s="4" t="n"/>
    </row>
    <row r="565">
      <c r="A565" s="4" t="inlineStr">
        <is>
          <t>MD-0043</t>
        </is>
      </c>
      <c r="B565" s="21" t="n">
        <v>45998</v>
      </c>
      <c r="C565" s="4" t="inlineStr">
        <is>
          <t>Usera</t>
        </is>
      </c>
      <c r="D565" s="4" t="n">
        <v>84</v>
      </c>
      <c r="E565" s="4" t="inlineStr">
        <is>
          <t>buen estado</t>
        </is>
      </c>
      <c r="F565" s="22" t="n">
        <v>364000</v>
      </c>
      <c r="G565" s="23" t="n">
        <v>4333.33</v>
      </c>
      <c r="H565" s="22" t="n">
        <v>248954</v>
      </c>
      <c r="I565" s="23" t="n">
        <v>2963.73</v>
      </c>
      <c r="J565" s="18" t="n">
        <v>0.4621</v>
      </c>
      <c r="K565" s="24" t="n">
        <v>0</v>
      </c>
      <c r="L565" s="4" t="n">
        <v>6</v>
      </c>
      <c r="M565" s="4" t="inlineStr">
        <is>
          <t>baja</t>
        </is>
      </c>
      <c r="N565" s="4" t="inlineStr">
        <is>
          <t>por encima de comparables</t>
        </is>
      </c>
      <c r="O565" s="4" t="n"/>
    </row>
    <row r="566">
      <c r="A566" s="4" t="inlineStr">
        <is>
          <t>MD-1494</t>
        </is>
      </c>
      <c r="B566" s="21" t="n">
        <v>45998</v>
      </c>
      <c r="C566" s="4" t="inlineStr">
        <is>
          <t>San Blas-Canillejas</t>
        </is>
      </c>
      <c r="D566" s="4" t="n">
        <v>72</v>
      </c>
      <c r="E566" s="4" t="inlineStr">
        <is>
          <t>buen estado</t>
        </is>
      </c>
      <c r="F566" s="22" t="n">
        <v>283000</v>
      </c>
      <c r="G566" s="23" t="n">
        <v>3930.56</v>
      </c>
      <c r="H566" s="22" t="n">
        <v>280219</v>
      </c>
      <c r="I566" s="23" t="n">
        <v>3891.93</v>
      </c>
      <c r="J566" s="18" t="n">
        <v>0.009900000000000001</v>
      </c>
      <c r="K566" s="24" t="n">
        <v>47.5</v>
      </c>
      <c r="L566" s="4" t="n">
        <v>10</v>
      </c>
      <c r="M566" s="4" t="inlineStr">
        <is>
          <t>media</t>
        </is>
      </c>
      <c r="N566" s="4" t="inlineStr">
        <is>
          <t>en linea con comparables</t>
        </is>
      </c>
      <c r="O566" s="4" t="n"/>
    </row>
    <row r="567">
      <c r="A567" s="4" t="inlineStr">
        <is>
          <t>MD-0961</t>
        </is>
      </c>
      <c r="B567" s="21" t="n">
        <v>45998</v>
      </c>
      <c r="C567" s="4" t="inlineStr">
        <is>
          <t>Fuencarral-El Pardo</t>
        </is>
      </c>
      <c r="D567" s="4" t="n">
        <v>48</v>
      </c>
      <c r="E567" s="4" t="inlineStr">
        <is>
          <t>reformado</t>
        </is>
      </c>
      <c r="F567" s="22" t="n">
        <v>291000</v>
      </c>
      <c r="G567" s="23" t="n">
        <v>6062.5</v>
      </c>
      <c r="H567" s="22" t="n">
        <v>256548</v>
      </c>
      <c r="I567" s="23" t="n">
        <v>5344.76</v>
      </c>
      <c r="J567" s="18" t="n">
        <v>0.1343</v>
      </c>
      <c r="K567" s="24" t="n">
        <v>16.4</v>
      </c>
      <c r="L567" s="4" t="n">
        <v>10</v>
      </c>
      <c r="M567" s="4" t="inlineStr">
        <is>
          <t>media</t>
        </is>
      </c>
      <c r="N567" s="4" t="inlineStr">
        <is>
          <t>por encima de comparables</t>
        </is>
      </c>
      <c r="O567" s="4" t="n"/>
    </row>
    <row r="568">
      <c r="A568" s="4" t="inlineStr">
        <is>
          <t>MD-0589</t>
        </is>
      </c>
      <c r="B568" s="21" t="n">
        <v>45999</v>
      </c>
      <c r="C568" s="4" t="inlineStr">
        <is>
          <t>Retiro</t>
        </is>
      </c>
      <c r="D568" s="4" t="n">
        <v>183</v>
      </c>
      <c r="E568" s="4" t="inlineStr">
        <is>
          <t>buen estado</t>
        </is>
      </c>
      <c r="F568" s="22" t="n">
        <v>1381000</v>
      </c>
      <c r="G568" s="23" t="n">
        <v>7546.45</v>
      </c>
      <c r="H568" s="22" t="n"/>
      <c r="I568" s="23" t="n"/>
      <c r="J568" s="18" t="n"/>
      <c r="K568" s="24" t="n"/>
      <c r="L568" s="4" t="n">
        <v>2</v>
      </c>
      <c r="M568" s="4" t="inlineStr">
        <is>
          <t>sin muestra</t>
        </is>
      </c>
      <c r="N568" s="4" t="inlineStr">
        <is>
          <t>no valorable</t>
        </is>
      </c>
      <c r="O568" s="4" t="inlineStr">
        <is>
          <t>segmento con pocas operaciones comparables</t>
        </is>
      </c>
    </row>
    <row r="569">
      <c r="A569" s="4" t="inlineStr">
        <is>
          <t>MD-0056</t>
        </is>
      </c>
      <c r="B569" s="21" t="n">
        <v>45999</v>
      </c>
      <c r="C569" s="4" t="inlineStr">
        <is>
          <t>Carabanchel</t>
        </is>
      </c>
      <c r="D569" s="4" t="n">
        <v>60</v>
      </c>
      <c r="E569" s="4" t="inlineStr">
        <is>
          <t>buen estado</t>
        </is>
      </c>
      <c r="F569" s="22" t="n">
        <v>173000</v>
      </c>
      <c r="G569" s="23" t="n">
        <v>2883.33</v>
      </c>
      <c r="H569" s="22" t="n">
        <v>182504</v>
      </c>
      <c r="I569" s="23" t="n">
        <v>3041.73</v>
      </c>
      <c r="J569" s="18" t="n">
        <v>-0.0521</v>
      </c>
      <c r="K569" s="24" t="n">
        <v>63</v>
      </c>
      <c r="L569" s="4" t="n">
        <v>19</v>
      </c>
      <c r="M569" s="4" t="inlineStr">
        <is>
          <t>alta</t>
        </is>
      </c>
      <c r="N569" s="4" t="inlineStr">
        <is>
          <t>en linea con comparables</t>
        </is>
      </c>
      <c r="O569" s="4" t="n"/>
    </row>
    <row r="570">
      <c r="A570" s="4" t="inlineStr">
        <is>
          <t>MD-0142</t>
        </is>
      </c>
      <c r="B570" s="21" t="n">
        <v>45999</v>
      </c>
      <c r="C570" s="4" t="inlineStr">
        <is>
          <t>Moratalaz</t>
        </is>
      </c>
      <c r="D570" s="4" t="n">
        <v>67</v>
      </c>
      <c r="E570" s="4" t="inlineStr">
        <is>
          <t>obra nueva</t>
        </is>
      </c>
      <c r="F570" s="22" t="n">
        <v>255000</v>
      </c>
      <c r="G570" s="23" t="n">
        <v>3805.97</v>
      </c>
      <c r="H570" s="22" t="n"/>
      <c r="I570" s="23" t="n"/>
      <c r="J570" s="18" t="n"/>
      <c r="K570" s="24" t="n"/>
      <c r="L570" s="4" t="n">
        <v>2</v>
      </c>
      <c r="M570" s="4" t="inlineStr">
        <is>
          <t>sin muestra</t>
        </is>
      </c>
      <c r="N570" s="4" t="inlineStr">
        <is>
          <t>no valorable</t>
        </is>
      </c>
      <c r="O570" s="4" t="inlineStr">
        <is>
          <t>segmento con pocas operaciones comparables</t>
        </is>
      </c>
    </row>
    <row r="571">
      <c r="A571" s="4" t="inlineStr">
        <is>
          <t>MD-0374</t>
        </is>
      </c>
      <c r="B571" s="21" t="n">
        <v>46000</v>
      </c>
      <c r="C571" s="4" t="inlineStr">
        <is>
          <t>Chamberi</t>
        </is>
      </c>
      <c r="D571" s="4" t="n">
        <v>161</v>
      </c>
      <c r="E571" s="4" t="inlineStr">
        <is>
          <t>buen estado</t>
        </is>
      </c>
      <c r="F571" s="22" t="n">
        <v>1211000</v>
      </c>
      <c r="G571" s="23" t="n">
        <v>7521.74</v>
      </c>
      <c r="H571" s="22" t="n"/>
      <c r="I571" s="23" t="n"/>
      <c r="J571" s="18" t="n"/>
      <c r="K571" s="24" t="n"/>
      <c r="L571" s="4" t="n">
        <v>2</v>
      </c>
      <c r="M571" s="4" t="inlineStr">
        <is>
          <t>sin muestra</t>
        </is>
      </c>
      <c r="N571" s="4" t="inlineStr">
        <is>
          <t>no valorable</t>
        </is>
      </c>
      <c r="O571" s="4" t="inlineStr">
        <is>
          <t>segmento con pocas operaciones comparables</t>
        </is>
      </c>
    </row>
    <row r="572">
      <c r="A572" s="4" t="inlineStr">
        <is>
          <t>MD-0999</t>
        </is>
      </c>
      <c r="B572" s="21" t="n">
        <v>46000</v>
      </c>
      <c r="C572" s="4" t="inlineStr">
        <is>
          <t>Retiro</t>
        </is>
      </c>
      <c r="D572" s="4" t="n">
        <v>145</v>
      </c>
      <c r="E572" s="4" t="inlineStr">
        <is>
          <t>reformado</t>
        </is>
      </c>
      <c r="F572" s="22" t="n">
        <v>946000</v>
      </c>
      <c r="G572" s="23" t="n">
        <v>6524.14</v>
      </c>
      <c r="H572" s="22" t="n">
        <v>1105440</v>
      </c>
      <c r="I572" s="23" t="n">
        <v>7623.72</v>
      </c>
      <c r="J572" s="18" t="n">
        <v>-0.1442</v>
      </c>
      <c r="K572" s="24" t="n">
        <v>86.09999999999999</v>
      </c>
      <c r="L572" s="4" t="n">
        <v>6</v>
      </c>
      <c r="M572" s="4" t="inlineStr">
        <is>
          <t>baja</t>
        </is>
      </c>
      <c r="N572" s="4" t="inlineStr">
        <is>
          <t>por debajo de comparables</t>
        </is>
      </c>
      <c r="O572" s="4" t="n"/>
    </row>
    <row r="573">
      <c r="A573" s="4" t="inlineStr">
        <is>
          <t>MD-1896</t>
        </is>
      </c>
      <c r="B573" s="21" t="n">
        <v>46000</v>
      </c>
      <c r="C573" s="4" t="inlineStr">
        <is>
          <t>San Blas-Canillejas</t>
        </is>
      </c>
      <c r="D573" s="4" t="n">
        <v>110</v>
      </c>
      <c r="E573" s="4" t="inlineStr">
        <is>
          <t>buen estado</t>
        </is>
      </c>
      <c r="F573" s="22" t="n">
        <v>372000</v>
      </c>
      <c r="G573" s="23" t="n">
        <v>3381.82</v>
      </c>
      <c r="H573" s="22" t="n"/>
      <c r="I573" s="23" t="n"/>
      <c r="J573" s="18" t="n"/>
      <c r="K573" s="24" t="n"/>
      <c r="L573" s="4" t="n">
        <v>3</v>
      </c>
      <c r="M573" s="4" t="inlineStr">
        <is>
          <t>sin muestra</t>
        </is>
      </c>
      <c r="N573" s="4" t="inlineStr">
        <is>
          <t>no valorable</t>
        </is>
      </c>
      <c r="O573" s="4" t="inlineStr">
        <is>
          <t>segmento con pocas operaciones comparables</t>
        </is>
      </c>
    </row>
    <row r="574">
      <c r="A574" s="4" t="inlineStr">
        <is>
          <t>MD-1962</t>
        </is>
      </c>
      <c r="B574" s="21" t="n">
        <v>46000</v>
      </c>
      <c r="C574" s="4" t="inlineStr">
        <is>
          <t>Chamberi</t>
        </is>
      </c>
      <c r="D574" s="4" t="n">
        <v>162</v>
      </c>
      <c r="E574" s="4" t="inlineStr">
        <is>
          <t>buen estado</t>
        </is>
      </c>
      <c r="F574" s="22" t="n">
        <v>312000</v>
      </c>
      <c r="G574" s="23" t="n">
        <v>1925.93</v>
      </c>
      <c r="H574" s="22" t="n"/>
      <c r="I574" s="23" t="n"/>
      <c r="J574" s="18" t="n"/>
      <c r="K574" s="24" t="n"/>
      <c r="L574" s="4" t="n">
        <v>2</v>
      </c>
      <c r="M574" s="4" t="inlineStr">
        <is>
          <t>sin muestra</t>
        </is>
      </c>
      <c r="N574" s="4" t="inlineStr">
        <is>
          <t>no valorable</t>
        </is>
      </c>
      <c r="O574" s="4" t="inlineStr">
        <is>
          <t>segmento con pocas operaciones comparables</t>
        </is>
      </c>
    </row>
    <row r="575">
      <c r="A575" s="4" t="inlineStr">
        <is>
          <t>MD-1914</t>
        </is>
      </c>
      <c r="B575" s="21" t="n">
        <v>46000</v>
      </c>
      <c r="C575" s="4" t="inlineStr">
        <is>
          <t>Latina</t>
        </is>
      </c>
      <c r="D575" s="4" t="n">
        <v>42</v>
      </c>
      <c r="E575" s="4" t="inlineStr">
        <is>
          <t>buen estado</t>
        </is>
      </c>
      <c r="F575" s="22" t="n">
        <v>107000</v>
      </c>
      <c r="G575" s="23" t="n">
        <v>2547.62</v>
      </c>
      <c r="H575" s="22" t="n">
        <v>121548</v>
      </c>
      <c r="I575" s="23" t="n">
        <v>2894</v>
      </c>
      <c r="J575" s="18" t="n">
        <v>-0.1197</v>
      </c>
      <c r="K575" s="24" t="n">
        <v>79.90000000000001</v>
      </c>
      <c r="L575" s="4" t="n">
        <v>8</v>
      </c>
      <c r="M575" s="4" t="inlineStr">
        <is>
          <t>media</t>
        </is>
      </c>
      <c r="N575" s="4" t="inlineStr">
        <is>
          <t>por debajo de comparables</t>
        </is>
      </c>
      <c r="O575" s="4" t="n"/>
    </row>
    <row r="576">
      <c r="A576" s="4" t="inlineStr">
        <is>
          <t>MD-0755</t>
        </is>
      </c>
      <c r="B576" s="21" t="n">
        <v>46000</v>
      </c>
      <c r="C576" s="4" t="inlineStr">
        <is>
          <t>Hortaleza</t>
        </is>
      </c>
      <c r="D576" s="4" t="n">
        <v>95</v>
      </c>
      <c r="E576" s="4" t="inlineStr">
        <is>
          <t>a reformar</t>
        </is>
      </c>
      <c r="F576" s="22" t="n">
        <v>430000</v>
      </c>
      <c r="G576" s="23" t="n">
        <v>4526.32</v>
      </c>
      <c r="H576" s="22" t="n">
        <v>435205</v>
      </c>
      <c r="I576" s="23" t="n">
        <v>4581.11</v>
      </c>
      <c r="J576" s="18" t="n">
        <v>-0.012</v>
      </c>
      <c r="K576" s="24" t="n">
        <v>53</v>
      </c>
      <c r="L576" s="4" t="n">
        <v>9</v>
      </c>
      <c r="M576" s="4" t="inlineStr">
        <is>
          <t>media</t>
        </is>
      </c>
      <c r="N576" s="4" t="inlineStr">
        <is>
          <t>en linea con comparables</t>
        </is>
      </c>
      <c r="O576" s="4" t="n"/>
    </row>
    <row r="577">
      <c r="A577" s="4" t="inlineStr">
        <is>
          <t>MD-1399</t>
        </is>
      </c>
      <c r="B577" s="21" t="n">
        <v>46000</v>
      </c>
      <c r="C577" s="4" t="inlineStr">
        <is>
          <t>Fuencarral-El Pardo</t>
        </is>
      </c>
      <c r="D577" s="4" t="n">
        <v>117</v>
      </c>
      <c r="E577" s="4" t="inlineStr">
        <is>
          <t>obra nueva</t>
        </is>
      </c>
      <c r="F577" s="22" t="n">
        <v>648000</v>
      </c>
      <c r="G577" s="23" t="n">
        <v>5538.46</v>
      </c>
      <c r="H577" s="22" t="n">
        <v>645937</v>
      </c>
      <c r="I577" s="23" t="n">
        <v>5520.83</v>
      </c>
      <c r="J577" s="18" t="n">
        <v>0.0032</v>
      </c>
      <c r="K577" s="24" t="n">
        <v>49.2</v>
      </c>
      <c r="L577" s="4" t="n">
        <v>9</v>
      </c>
      <c r="M577" s="4" t="inlineStr">
        <is>
          <t>media</t>
        </is>
      </c>
      <c r="N577" s="4" t="inlineStr">
        <is>
          <t>en linea con comparables</t>
        </is>
      </c>
      <c r="O577" s="4" t="n"/>
    </row>
    <row r="578">
      <c r="A578" s="4" t="inlineStr">
        <is>
          <t>MD-1141</t>
        </is>
      </c>
      <c r="B578" s="21" t="n">
        <v>46001</v>
      </c>
      <c r="C578" s="4" t="inlineStr">
        <is>
          <t>Centro</t>
        </is>
      </c>
      <c r="D578" s="4" t="n">
        <v>48</v>
      </c>
      <c r="E578" s="4" t="inlineStr">
        <is>
          <t>obra nueva</t>
        </is>
      </c>
      <c r="F578" s="22" t="n">
        <v>275000</v>
      </c>
      <c r="G578" s="23" t="n">
        <v>5729.17</v>
      </c>
      <c r="H578" s="22" t="n">
        <v>382555</v>
      </c>
      <c r="I578" s="23" t="n">
        <v>7969.9</v>
      </c>
      <c r="J578" s="18" t="n">
        <v>-0.2811</v>
      </c>
      <c r="K578" s="24" t="n">
        <v>100</v>
      </c>
      <c r="L578" s="4" t="n">
        <v>6</v>
      </c>
      <c r="M578" s="4" t="inlineStr">
        <is>
          <t>baja</t>
        </is>
      </c>
      <c r="N578" s="4" t="inlineStr">
        <is>
          <t>por debajo de comparables</t>
        </is>
      </c>
      <c r="O578" s="4" t="n"/>
    </row>
    <row r="579">
      <c r="A579" s="4" t="inlineStr">
        <is>
          <t>MD-0372</t>
        </is>
      </c>
      <c r="B579" s="21" t="n">
        <v>46001</v>
      </c>
      <c r="C579" s="4" t="inlineStr">
        <is>
          <t>Hortaleza</t>
        </is>
      </c>
      <c r="D579" s="4" t="n">
        <v>120</v>
      </c>
      <c r="E579" s="4" t="inlineStr">
        <is>
          <t>buen estado</t>
        </is>
      </c>
      <c r="F579" s="22" t="n">
        <v>539000</v>
      </c>
      <c r="G579" s="23" t="n">
        <v>4491.67</v>
      </c>
      <c r="H579" s="22" t="n">
        <v>630082</v>
      </c>
      <c r="I579" s="23" t="n">
        <v>5250.68</v>
      </c>
      <c r="J579" s="18" t="n">
        <v>-0.1446</v>
      </c>
      <c r="K579" s="24" t="n">
        <v>86.09999999999999</v>
      </c>
      <c r="L579" s="4" t="n">
        <v>6</v>
      </c>
      <c r="M579" s="4" t="inlineStr">
        <is>
          <t>baja</t>
        </is>
      </c>
      <c r="N579" s="4" t="inlineStr">
        <is>
          <t>por debajo de comparables</t>
        </is>
      </c>
      <c r="O579" s="4" t="n"/>
    </row>
    <row r="580">
      <c r="A580" s="4" t="inlineStr">
        <is>
          <t>MD-0225</t>
        </is>
      </c>
      <c r="B580" s="21" t="n">
        <v>46001</v>
      </c>
      <c r="C580" s="4" t="inlineStr">
        <is>
          <t>Chamartin</t>
        </is>
      </c>
      <c r="D580" s="4" t="n">
        <v>80</v>
      </c>
      <c r="E580" s="4" t="inlineStr">
        <is>
          <t>buen estado</t>
        </is>
      </c>
      <c r="F580" s="22" t="n">
        <v>559000</v>
      </c>
      <c r="G580" s="23" t="n">
        <v>6987.5</v>
      </c>
      <c r="H580" s="22" t="n">
        <v>633332</v>
      </c>
      <c r="I580" s="23" t="n">
        <v>7916.64</v>
      </c>
      <c r="J580" s="18" t="n">
        <v>-0.1174</v>
      </c>
      <c r="K580" s="24" t="n">
        <v>79.3</v>
      </c>
      <c r="L580" s="4" t="n">
        <v>9</v>
      </c>
      <c r="M580" s="4" t="inlineStr">
        <is>
          <t>media</t>
        </is>
      </c>
      <c r="N580" s="4" t="inlineStr">
        <is>
          <t>por debajo de comparables</t>
        </is>
      </c>
      <c r="O580" s="4" t="n"/>
    </row>
    <row r="581">
      <c r="A581" s="4" t="inlineStr">
        <is>
          <t>MD-0530</t>
        </is>
      </c>
      <c r="B581" s="21" t="n">
        <v>46001</v>
      </c>
      <c r="C581" s="4" t="inlineStr">
        <is>
          <t>Retiro</t>
        </is>
      </c>
      <c r="D581" s="4" t="n">
        <v>156</v>
      </c>
      <c r="E581" s="4" t="inlineStr">
        <is>
          <t>buen estado</t>
        </is>
      </c>
      <c r="F581" s="22" t="n">
        <v>1138000</v>
      </c>
      <c r="G581" s="23" t="n">
        <v>7294.87</v>
      </c>
      <c r="H581" s="22" t="n">
        <v>1057311</v>
      </c>
      <c r="I581" s="23" t="n">
        <v>6777.64</v>
      </c>
      <c r="J581" s="18" t="n">
        <v>0.07630000000000001</v>
      </c>
      <c r="K581" s="24" t="n">
        <v>30.9</v>
      </c>
      <c r="L581" s="4" t="n">
        <v>6</v>
      </c>
      <c r="M581" s="4" t="inlineStr">
        <is>
          <t>baja</t>
        </is>
      </c>
      <c r="N581" s="4" t="inlineStr">
        <is>
          <t>en linea con comparables</t>
        </is>
      </c>
      <c r="O581" s="4" t="n"/>
    </row>
    <row r="582">
      <c r="A582" s="4" t="inlineStr">
        <is>
          <t>MD-0928</t>
        </is>
      </c>
      <c r="B582" s="21" t="n">
        <v>46002</v>
      </c>
      <c r="C582" s="4" t="inlineStr">
        <is>
          <t>Fuencarral-El Pardo</t>
        </is>
      </c>
      <c r="D582" s="4" t="n">
        <v>35</v>
      </c>
      <c r="E582" s="4" t="inlineStr">
        <is>
          <t>reformado</t>
        </is>
      </c>
      <c r="F582" s="22" t="n">
        <v>227000</v>
      </c>
      <c r="G582" s="23" t="n">
        <v>6485.71</v>
      </c>
      <c r="H582" s="22" t="n"/>
      <c r="I582" s="23" t="n"/>
      <c r="J582" s="18" t="n"/>
      <c r="K582" s="24" t="n"/>
      <c r="L582" s="4" t="n">
        <v>2</v>
      </c>
      <c r="M582" s="4" t="inlineStr">
        <is>
          <t>sin muestra</t>
        </is>
      </c>
      <c r="N582" s="4" t="inlineStr">
        <is>
          <t>no valorable</t>
        </is>
      </c>
      <c r="O582" s="4" t="inlineStr">
        <is>
          <t>segmento con pocas operaciones comparables</t>
        </is>
      </c>
    </row>
    <row r="583">
      <c r="A583" s="4" t="inlineStr">
        <is>
          <t>MD-1542</t>
        </is>
      </c>
      <c r="B583" s="21" t="n">
        <v>46002</v>
      </c>
      <c r="C583" s="4" t="inlineStr">
        <is>
          <t>Carabanchel</t>
        </is>
      </c>
      <c r="D583" s="4" t="n">
        <v>51</v>
      </c>
      <c r="E583" s="4" t="inlineStr">
        <is>
          <t>a reformar</t>
        </is>
      </c>
      <c r="F583" s="22" t="n">
        <v>165000</v>
      </c>
      <c r="G583" s="23" t="n">
        <v>3235.29</v>
      </c>
      <c r="H583" s="22" t="n">
        <v>142967</v>
      </c>
      <c r="I583" s="23" t="n">
        <v>2803.27</v>
      </c>
      <c r="J583" s="18" t="n">
        <v>0.1541</v>
      </c>
      <c r="K583" s="24" t="n">
        <v>11.5</v>
      </c>
      <c r="L583" s="4" t="n">
        <v>16</v>
      </c>
      <c r="M583" s="4" t="inlineStr">
        <is>
          <t>alta</t>
        </is>
      </c>
      <c r="N583" s="4" t="inlineStr">
        <is>
          <t>por encima de comparables</t>
        </is>
      </c>
      <c r="O583" s="4" t="n"/>
    </row>
    <row r="584">
      <c r="A584" s="4" t="inlineStr">
        <is>
          <t>MD-0132</t>
        </is>
      </c>
      <c r="B584" s="21" t="n">
        <v>46002</v>
      </c>
      <c r="C584" s="4" t="inlineStr">
        <is>
          <t>Salamanca</t>
        </is>
      </c>
      <c r="D584" s="4" t="n">
        <v>70</v>
      </c>
      <c r="E584" s="4" t="inlineStr">
        <is>
          <t>a reformar</t>
        </is>
      </c>
      <c r="F584" s="22" t="n">
        <v>482000</v>
      </c>
      <c r="G584" s="23" t="n">
        <v>6885.71</v>
      </c>
      <c r="H584" s="22" t="n">
        <v>491097</v>
      </c>
      <c r="I584" s="23" t="n">
        <v>7015.68</v>
      </c>
      <c r="J584" s="18" t="n">
        <v>-0.0185</v>
      </c>
      <c r="K584" s="24" t="n">
        <v>54.6</v>
      </c>
      <c r="L584" s="4" t="n">
        <v>10</v>
      </c>
      <c r="M584" s="4" t="inlineStr">
        <is>
          <t>media</t>
        </is>
      </c>
      <c r="N584" s="4" t="inlineStr">
        <is>
          <t>en linea con comparables</t>
        </is>
      </c>
      <c r="O584" s="4" t="n"/>
    </row>
    <row r="585">
      <c r="A585" s="4" t="inlineStr">
        <is>
          <t>MD-1019</t>
        </is>
      </c>
      <c r="B585" s="21" t="n">
        <v>46002</v>
      </c>
      <c r="C585" s="4" t="inlineStr">
        <is>
          <t>Centro</t>
        </is>
      </c>
      <c r="D585" s="4" t="n">
        <v>33</v>
      </c>
      <c r="E585" s="4" t="inlineStr">
        <is>
          <t>reformado</t>
        </is>
      </c>
      <c r="F585" s="22" t="n">
        <v>306000</v>
      </c>
      <c r="G585" s="23" t="n">
        <v>9272.73</v>
      </c>
      <c r="H585" s="22" t="n">
        <v>288132</v>
      </c>
      <c r="I585" s="23" t="n">
        <v>8731.26</v>
      </c>
      <c r="J585" s="18" t="n">
        <v>0.062</v>
      </c>
      <c r="K585" s="24" t="n">
        <v>34.5</v>
      </c>
      <c r="L585" s="4" t="n">
        <v>8</v>
      </c>
      <c r="M585" s="4" t="inlineStr">
        <is>
          <t>media</t>
        </is>
      </c>
      <c r="N585" s="4" t="inlineStr">
        <is>
          <t>en linea con comparables</t>
        </is>
      </c>
      <c r="O585" s="4" t="n"/>
    </row>
    <row r="586">
      <c r="A586" s="4" t="inlineStr">
        <is>
          <t>MD-1465</t>
        </is>
      </c>
      <c r="B586" s="21" t="n">
        <v>46002</v>
      </c>
      <c r="C586" s="4" t="inlineStr">
        <is>
          <t>Retiro</t>
        </is>
      </c>
      <c r="D586" s="4" t="n">
        <v>190</v>
      </c>
      <c r="E586" s="4" t="inlineStr">
        <is>
          <t>reformado</t>
        </is>
      </c>
      <c r="F586" s="22" t="n">
        <v>1746000</v>
      </c>
      <c r="G586" s="23" t="n">
        <v>9189.469999999999</v>
      </c>
      <c r="H586" s="22" t="n"/>
      <c r="I586" s="23" t="n"/>
      <c r="J586" s="18" t="n"/>
      <c r="K586" s="24" t="n"/>
      <c r="L586" s="4" t="n">
        <v>4</v>
      </c>
      <c r="M586" s="4" t="inlineStr">
        <is>
          <t>sin muestra</t>
        </is>
      </c>
      <c r="N586" s="4" t="inlineStr">
        <is>
          <t>no valorable</t>
        </is>
      </c>
      <c r="O586" s="4" t="inlineStr">
        <is>
          <t>segmento con pocas operaciones comparables</t>
        </is>
      </c>
    </row>
    <row r="587">
      <c r="A587" s="4" t="inlineStr">
        <is>
          <t>MD-0865</t>
        </is>
      </c>
      <c r="B587" s="21" t="n">
        <v>46002</v>
      </c>
      <c r="C587" s="4" t="inlineStr">
        <is>
          <t>Ciudad Lineal</t>
        </is>
      </c>
      <c r="D587" s="4" t="n">
        <v>46</v>
      </c>
      <c r="E587" s="4" t="inlineStr">
        <is>
          <t>reformado</t>
        </is>
      </c>
      <c r="F587" s="22" t="n">
        <v>208000</v>
      </c>
      <c r="G587" s="23" t="n">
        <v>4521.74</v>
      </c>
      <c r="H587" s="22" t="n">
        <v>230826</v>
      </c>
      <c r="I587" s="23" t="n">
        <v>5017.95</v>
      </c>
      <c r="J587" s="18" t="n">
        <v>-0.0989</v>
      </c>
      <c r="K587" s="24" t="n">
        <v>74.7</v>
      </c>
      <c r="L587" s="4" t="n">
        <v>9</v>
      </c>
      <c r="M587" s="4" t="inlineStr">
        <is>
          <t>media</t>
        </is>
      </c>
      <c r="N587" s="4" t="inlineStr">
        <is>
          <t>en linea con comparables</t>
        </is>
      </c>
      <c r="O587" s="4" t="n"/>
    </row>
    <row r="588">
      <c r="A588" s="4" t="inlineStr">
        <is>
          <t>MD-0349</t>
        </is>
      </c>
      <c r="B588" s="21" t="n">
        <v>46002</v>
      </c>
      <c r="C588" s="4" t="inlineStr">
        <is>
          <t>Salamanca</t>
        </is>
      </c>
      <c r="D588" s="4" t="n">
        <v>154</v>
      </c>
      <c r="E588" s="4" t="inlineStr">
        <is>
          <t>a reformar</t>
        </is>
      </c>
      <c r="F588" s="22" t="n">
        <v>1030000</v>
      </c>
      <c r="G588" s="23" t="n">
        <v>6688.31</v>
      </c>
      <c r="H588" s="22" t="n">
        <v>1244355</v>
      </c>
      <c r="I588" s="23" t="n">
        <v>8080.23</v>
      </c>
      <c r="J588" s="18" t="n">
        <v>-0.1723</v>
      </c>
      <c r="K588" s="24" t="n">
        <v>93.09999999999999</v>
      </c>
      <c r="L588" s="4" t="n">
        <v>6</v>
      </c>
      <c r="M588" s="4" t="inlineStr">
        <is>
          <t>baja</t>
        </is>
      </c>
      <c r="N588" s="4" t="inlineStr">
        <is>
          <t>por debajo de comparables</t>
        </is>
      </c>
      <c r="O588" s="4" t="n"/>
    </row>
    <row r="589">
      <c r="A589" s="4" t="inlineStr">
        <is>
          <t>MD-0077</t>
        </is>
      </c>
      <c r="B589" s="21" t="n">
        <v>46003</v>
      </c>
      <c r="C589" s="4" t="inlineStr">
        <is>
          <t>Retiro</t>
        </is>
      </c>
      <c r="D589" s="4" t="n">
        <v>87</v>
      </c>
      <c r="E589" s="4" t="inlineStr">
        <is>
          <t>reformado</t>
        </is>
      </c>
      <c r="F589" s="22" t="n">
        <v>576000</v>
      </c>
      <c r="G589" s="23" t="n">
        <v>6620.69</v>
      </c>
      <c r="H589" s="22" t="n">
        <v>729434</v>
      </c>
      <c r="I589" s="23" t="n">
        <v>8384.299999999999</v>
      </c>
      <c r="J589" s="18" t="n">
        <v>-0.2103</v>
      </c>
      <c r="K589" s="24" t="n">
        <v>100</v>
      </c>
      <c r="L589" s="4" t="n">
        <v>10</v>
      </c>
      <c r="M589" s="4" t="inlineStr">
        <is>
          <t>media</t>
        </is>
      </c>
      <c r="N589" s="4" t="inlineStr">
        <is>
          <t>por debajo de comparables</t>
        </is>
      </c>
      <c r="O589" s="4" t="n"/>
    </row>
    <row r="590">
      <c r="A590" s="4" t="inlineStr">
        <is>
          <t>MD-1451</t>
        </is>
      </c>
      <c r="B590" s="21" t="n">
        <v>46003</v>
      </c>
      <c r="C590" s="4" t="inlineStr">
        <is>
          <t>Fuencarral-El Pardo</t>
        </is>
      </c>
      <c r="D590" s="4" t="n">
        <v>115</v>
      </c>
      <c r="E590" s="4" t="inlineStr">
        <is>
          <t>obra nueva</t>
        </is>
      </c>
      <c r="F590" s="22" t="n">
        <v>902000</v>
      </c>
      <c r="G590" s="23" t="n">
        <v>7843.48</v>
      </c>
      <c r="H590" s="22" t="n">
        <v>635909</v>
      </c>
      <c r="I590" s="23" t="n">
        <v>5529.65</v>
      </c>
      <c r="J590" s="18" t="n">
        <v>0.4184</v>
      </c>
      <c r="K590" s="24" t="n">
        <v>0</v>
      </c>
      <c r="L590" s="4" t="n">
        <v>10</v>
      </c>
      <c r="M590" s="4" t="inlineStr">
        <is>
          <t>media</t>
        </is>
      </c>
      <c r="N590" s="4" t="inlineStr">
        <is>
          <t>por encima de comparables</t>
        </is>
      </c>
      <c r="O590" s="4" t="n"/>
    </row>
    <row r="591">
      <c r="A591" s="4" t="inlineStr">
        <is>
          <t>MD-0906</t>
        </is>
      </c>
      <c r="B591" s="21" t="n">
        <v>46003</v>
      </c>
      <c r="C591" s="4" t="inlineStr">
        <is>
          <t>Salamanca</t>
        </is>
      </c>
      <c r="D591" s="4" t="n">
        <v>55</v>
      </c>
      <c r="E591" s="4" t="inlineStr">
        <is>
          <t>buen estado</t>
        </is>
      </c>
      <c r="F591" s="22" t="n">
        <v>495000</v>
      </c>
      <c r="G591" s="23" t="n">
        <v>9000</v>
      </c>
      <c r="H591" s="22" t="n">
        <v>458228</v>
      </c>
      <c r="I591" s="23" t="n">
        <v>8331.42</v>
      </c>
      <c r="J591" s="18" t="n">
        <v>0.08019999999999999</v>
      </c>
      <c r="K591" s="24" t="n">
        <v>29.9</v>
      </c>
      <c r="L591" s="4" t="n">
        <v>10</v>
      </c>
      <c r="M591" s="4" t="inlineStr">
        <is>
          <t>media</t>
        </is>
      </c>
      <c r="N591" s="4" t="inlineStr">
        <is>
          <t>en linea con comparables</t>
        </is>
      </c>
      <c r="O591" s="4" t="n"/>
    </row>
    <row r="592">
      <c r="A592" s="4" t="inlineStr">
        <is>
          <t>MD-0201</t>
        </is>
      </c>
      <c r="B592" s="21" t="n">
        <v>46003</v>
      </c>
      <c r="C592" s="4" t="inlineStr">
        <is>
          <t>Arganzuela</t>
        </is>
      </c>
      <c r="D592" s="4" t="n">
        <v>52</v>
      </c>
      <c r="E592" s="4" t="inlineStr">
        <is>
          <t>a reformar</t>
        </is>
      </c>
      <c r="F592" s="22" t="n">
        <v>279000</v>
      </c>
      <c r="G592" s="23" t="n">
        <v>5365.38</v>
      </c>
      <c r="H592" s="22" t="n">
        <v>252817</v>
      </c>
      <c r="I592" s="23" t="n">
        <v>4861.87</v>
      </c>
      <c r="J592" s="18" t="n">
        <v>0.1036</v>
      </c>
      <c r="K592" s="24" t="n">
        <v>24.1</v>
      </c>
      <c r="L592" s="4" t="n">
        <v>6</v>
      </c>
      <c r="M592" s="4" t="inlineStr">
        <is>
          <t>baja</t>
        </is>
      </c>
      <c r="N592" s="4" t="inlineStr">
        <is>
          <t>por encima de comparables</t>
        </is>
      </c>
      <c r="O592" s="4" t="n"/>
    </row>
    <row r="593">
      <c r="A593" s="4" t="inlineStr">
        <is>
          <t>MD-1021</t>
        </is>
      </c>
      <c r="B593" s="21" t="n">
        <v>46003</v>
      </c>
      <c r="C593" s="4" t="inlineStr">
        <is>
          <t>Tetuan</t>
        </is>
      </c>
      <c r="D593" s="4" t="n">
        <v>58</v>
      </c>
      <c r="E593" s="4" t="inlineStr">
        <is>
          <t>obra nueva</t>
        </is>
      </c>
      <c r="F593" s="22" t="n">
        <v>311000</v>
      </c>
      <c r="G593" s="23" t="n">
        <v>5362.07</v>
      </c>
      <c r="H593" s="22" t="n">
        <v>323909</v>
      </c>
      <c r="I593" s="23" t="n">
        <v>5584.65</v>
      </c>
      <c r="J593" s="18" t="n">
        <v>-0.0399</v>
      </c>
      <c r="K593" s="24" t="n">
        <v>60</v>
      </c>
      <c r="L593" s="4" t="n">
        <v>10</v>
      </c>
      <c r="M593" s="4" t="inlineStr">
        <is>
          <t>media</t>
        </is>
      </c>
      <c r="N593" s="4" t="inlineStr">
        <is>
          <t>en linea con comparables</t>
        </is>
      </c>
      <c r="O593" s="4" t="n"/>
    </row>
    <row r="594">
      <c r="A594" s="4" t="inlineStr">
        <is>
          <t>MD-0585</t>
        </is>
      </c>
      <c r="B594" s="21" t="n">
        <v>46003</v>
      </c>
      <c r="C594" s="4" t="inlineStr">
        <is>
          <t>Ciudad Lineal</t>
        </is>
      </c>
      <c r="D594" s="4" t="n">
        <v>41</v>
      </c>
      <c r="E594" s="4" t="inlineStr">
        <is>
          <t>buen estado</t>
        </is>
      </c>
      <c r="F594" s="22" t="n">
        <v>129000</v>
      </c>
      <c r="G594" s="23" t="n">
        <v>3146.34</v>
      </c>
      <c r="H594" s="22" t="n">
        <v>153633</v>
      </c>
      <c r="I594" s="23" t="n">
        <v>3747.16</v>
      </c>
      <c r="J594" s="18" t="n">
        <v>-0.1603</v>
      </c>
      <c r="K594" s="24" t="n">
        <v>90.09999999999999</v>
      </c>
      <c r="L594" s="4" t="n">
        <v>8</v>
      </c>
      <c r="M594" s="4" t="inlineStr">
        <is>
          <t>media</t>
        </is>
      </c>
      <c r="N594" s="4" t="inlineStr">
        <is>
          <t>por debajo de comparables</t>
        </is>
      </c>
      <c r="O594" s="4" t="n"/>
    </row>
    <row r="595">
      <c r="A595" s="4" t="inlineStr">
        <is>
          <t>MD-1379</t>
        </is>
      </c>
      <c r="B595" s="21" t="n">
        <v>46003</v>
      </c>
      <c r="C595" s="4" t="inlineStr">
        <is>
          <t>Centro</t>
        </is>
      </c>
      <c r="D595" s="4" t="n">
        <v>61</v>
      </c>
      <c r="E595" s="4" t="inlineStr">
        <is>
          <t>obra nueva</t>
        </is>
      </c>
      <c r="F595" s="22" t="n">
        <v>302000</v>
      </c>
      <c r="G595" s="23" t="n">
        <v>4950.82</v>
      </c>
      <c r="H595" s="22" t="n">
        <v>481127</v>
      </c>
      <c r="I595" s="23" t="n">
        <v>7887.33</v>
      </c>
      <c r="J595" s="18" t="n">
        <v>-0.3723</v>
      </c>
      <c r="K595" s="24" t="n">
        <v>100</v>
      </c>
      <c r="L595" s="4" t="n">
        <v>10</v>
      </c>
      <c r="M595" s="4" t="inlineStr">
        <is>
          <t>media</t>
        </is>
      </c>
      <c r="N595" s="4" t="inlineStr">
        <is>
          <t>por debajo de comparables</t>
        </is>
      </c>
      <c r="O595" s="4" t="n"/>
    </row>
    <row r="596">
      <c r="A596" s="4" t="inlineStr">
        <is>
          <t>MD-1369</t>
        </is>
      </c>
      <c r="B596" s="21" t="n">
        <v>46004</v>
      </c>
      <c r="C596" s="4" t="inlineStr">
        <is>
          <t>Moncloa-Aravaca</t>
        </is>
      </c>
      <c r="D596" s="4" t="n">
        <v>69</v>
      </c>
      <c r="E596" s="4" t="inlineStr">
        <is>
          <t>buen estado</t>
        </is>
      </c>
      <c r="F596" s="22" t="n">
        <v>427000</v>
      </c>
      <c r="G596" s="23" t="n">
        <v>6188.41</v>
      </c>
      <c r="H596" s="22" t="n"/>
      <c r="I596" s="23" t="n"/>
      <c r="J596" s="18" t="n"/>
      <c r="K596" s="24" t="n"/>
      <c r="L596" s="4" t="n">
        <v>2</v>
      </c>
      <c r="M596" s="4" t="inlineStr">
        <is>
          <t>sin muestra</t>
        </is>
      </c>
      <c r="N596" s="4" t="inlineStr">
        <is>
          <t>no valorable</t>
        </is>
      </c>
      <c r="O596" s="4" t="inlineStr">
        <is>
          <t>segmento con pocas operaciones comparables</t>
        </is>
      </c>
    </row>
    <row r="597">
      <c r="A597" s="4" t="inlineStr">
        <is>
          <t>MD-0843</t>
        </is>
      </c>
      <c r="B597" s="21" t="n">
        <v>46004</v>
      </c>
      <c r="C597" s="4" t="inlineStr">
        <is>
          <t>Salamanca</t>
        </is>
      </c>
      <c r="D597" s="4" t="n">
        <v>94</v>
      </c>
      <c r="E597" s="4" t="inlineStr">
        <is>
          <t>reformado</t>
        </is>
      </c>
      <c r="F597" s="22" t="n">
        <v>877000</v>
      </c>
      <c r="G597" s="23" t="n">
        <v>9329.790000000001</v>
      </c>
      <c r="H597" s="22" t="n"/>
      <c r="I597" s="23" t="n"/>
      <c r="J597" s="18" t="n"/>
      <c r="K597" s="24" t="n"/>
      <c r="L597" s="4" t="n">
        <v>4</v>
      </c>
      <c r="M597" s="4" t="inlineStr">
        <is>
          <t>sin muestra</t>
        </is>
      </c>
      <c r="N597" s="4" t="inlineStr">
        <is>
          <t>no valorable</t>
        </is>
      </c>
      <c r="O597" s="4" t="inlineStr">
        <is>
          <t>segmento con pocas operaciones comparables</t>
        </is>
      </c>
    </row>
    <row r="598">
      <c r="A598" s="4" t="inlineStr">
        <is>
          <t>MD-1701</t>
        </is>
      </c>
      <c r="B598" s="21" t="n">
        <v>46004</v>
      </c>
      <c r="C598" s="4" t="inlineStr">
        <is>
          <t>Moratalaz</t>
        </is>
      </c>
      <c r="D598" s="4" t="n">
        <v>59</v>
      </c>
      <c r="E598" s="4" t="inlineStr">
        <is>
          <t>reformado</t>
        </is>
      </c>
      <c r="F598" s="22" t="n">
        <v>209000</v>
      </c>
      <c r="G598" s="23" t="n">
        <v>3542.37</v>
      </c>
      <c r="H598" s="22" t="n"/>
      <c r="I598" s="23" t="n"/>
      <c r="J598" s="18" t="n"/>
      <c r="K598" s="24" t="n"/>
      <c r="L598" s="4" t="n">
        <v>4</v>
      </c>
      <c r="M598" s="4" t="inlineStr">
        <is>
          <t>sin muestra</t>
        </is>
      </c>
      <c r="N598" s="4" t="inlineStr">
        <is>
          <t>no valorable</t>
        </is>
      </c>
      <c r="O598" s="4" t="inlineStr">
        <is>
          <t>segmento con pocas operaciones comparables</t>
        </is>
      </c>
    </row>
    <row r="599">
      <c r="A599" s="4" t="inlineStr">
        <is>
          <t>MD-0239</t>
        </is>
      </c>
      <c r="B599" s="21" t="n">
        <v>46005</v>
      </c>
      <c r="C599" s="4" t="inlineStr">
        <is>
          <t>Latina</t>
        </is>
      </c>
      <c r="D599" s="4" t="n">
        <v>73</v>
      </c>
      <c r="E599" s="4" t="inlineStr">
        <is>
          <t>a reformar</t>
        </is>
      </c>
      <c r="F599" s="22" t="n">
        <v>160000</v>
      </c>
      <c r="G599" s="23" t="n">
        <v>2191.78</v>
      </c>
      <c r="H599" s="22" t="n">
        <v>180422</v>
      </c>
      <c r="I599" s="23" t="n">
        <v>2471.54</v>
      </c>
      <c r="J599" s="18" t="n">
        <v>-0.1132</v>
      </c>
      <c r="K599" s="24" t="n">
        <v>78.3</v>
      </c>
      <c r="L599" s="4" t="n">
        <v>23</v>
      </c>
      <c r="M599" s="4" t="inlineStr">
        <is>
          <t>alta</t>
        </is>
      </c>
      <c r="N599" s="4" t="inlineStr">
        <is>
          <t>por debajo de comparables</t>
        </is>
      </c>
      <c r="O599" s="4" t="n"/>
    </row>
    <row r="600">
      <c r="A600" s="4" t="inlineStr">
        <is>
          <t>MD-1719</t>
        </is>
      </c>
      <c r="B600" s="21" t="n">
        <v>46005</v>
      </c>
      <c r="C600" s="4" t="inlineStr">
        <is>
          <t>Ciudad Lineal</t>
        </is>
      </c>
      <c r="D600" s="4" t="n">
        <v>88</v>
      </c>
      <c r="E600" s="4" t="inlineStr">
        <is>
          <t>reformado</t>
        </is>
      </c>
      <c r="F600" s="22" t="n">
        <v>431000</v>
      </c>
      <c r="G600" s="23" t="n">
        <v>4897.73</v>
      </c>
      <c r="H600" s="22" t="n">
        <v>436047</v>
      </c>
      <c r="I600" s="23" t="n">
        <v>4955.08</v>
      </c>
      <c r="J600" s="18" t="n">
        <v>-0.0116</v>
      </c>
      <c r="K600" s="24" t="n">
        <v>52.9</v>
      </c>
      <c r="L600" s="4" t="n">
        <v>6</v>
      </c>
      <c r="M600" s="4" t="inlineStr">
        <is>
          <t>baja</t>
        </is>
      </c>
      <c r="N600" s="4" t="inlineStr">
        <is>
          <t>en linea con comparables</t>
        </is>
      </c>
      <c r="O600" s="4" t="n"/>
    </row>
    <row r="601">
      <c r="A601" s="4" t="inlineStr">
        <is>
          <t>MD-0170</t>
        </is>
      </c>
      <c r="B601" s="21" t="n">
        <v>46005</v>
      </c>
      <c r="C601" s="4" t="inlineStr">
        <is>
          <t>Moncloa-Aravaca</t>
        </is>
      </c>
      <c r="D601" s="4" t="n">
        <v>66</v>
      </c>
      <c r="E601" s="4" t="inlineStr">
        <is>
          <t>reformado</t>
        </is>
      </c>
      <c r="F601" s="22" t="n">
        <v>412000</v>
      </c>
      <c r="G601" s="23" t="n">
        <v>6242.42</v>
      </c>
      <c r="H601" s="22" t="n"/>
      <c r="I601" s="23" t="n"/>
      <c r="J601" s="18" t="n"/>
      <c r="K601" s="24" t="n"/>
      <c r="L601" s="4" t="n">
        <v>1</v>
      </c>
      <c r="M601" s="4" t="inlineStr">
        <is>
          <t>sin muestra</t>
        </is>
      </c>
      <c r="N601" s="4" t="inlineStr">
        <is>
          <t>no valorable</t>
        </is>
      </c>
      <c r="O601" s="4" t="inlineStr">
        <is>
          <t>segmento con pocas operaciones comparables</t>
        </is>
      </c>
    </row>
    <row r="602">
      <c r="A602" s="4" t="inlineStr">
        <is>
          <t>MD-1048</t>
        </is>
      </c>
      <c r="B602" s="21" t="n">
        <v>46005</v>
      </c>
      <c r="C602" s="4" t="inlineStr">
        <is>
          <t>Arganzuela</t>
        </is>
      </c>
      <c r="D602" s="4" t="n">
        <v>77</v>
      </c>
      <c r="E602" s="4" t="inlineStr">
        <is>
          <t>a reformar</t>
        </is>
      </c>
      <c r="F602" s="22" t="n">
        <v>295000</v>
      </c>
      <c r="G602" s="23" t="n">
        <v>3831.17</v>
      </c>
      <c r="H602" s="22" t="n">
        <v>435488</v>
      </c>
      <c r="I602" s="23" t="n">
        <v>5655.69</v>
      </c>
      <c r="J602" s="18" t="n">
        <v>-0.3226</v>
      </c>
      <c r="K602" s="24" t="n">
        <v>100</v>
      </c>
      <c r="L602" s="4" t="n">
        <v>8</v>
      </c>
      <c r="M602" s="4" t="inlineStr">
        <is>
          <t>media</t>
        </is>
      </c>
      <c r="N602" s="4" t="inlineStr">
        <is>
          <t>por debajo de comparables</t>
        </is>
      </c>
      <c r="O602" s="4" t="n"/>
    </row>
    <row r="603">
      <c r="A603" s="4" t="inlineStr">
        <is>
          <t>MD-0519</t>
        </is>
      </c>
      <c r="B603" s="21" t="n">
        <v>46005</v>
      </c>
      <c r="C603" s="4" t="inlineStr">
        <is>
          <t>Puente de Vallecas</t>
        </is>
      </c>
      <c r="D603" s="4" t="n">
        <v>62</v>
      </c>
      <c r="E603" s="4" t="inlineStr">
        <is>
          <t>a reformar</t>
        </is>
      </c>
      <c r="F603" s="22" t="n">
        <v>132000</v>
      </c>
      <c r="G603" s="23" t="n">
        <v>2129.03</v>
      </c>
      <c r="H603" s="22" t="n">
        <v>150172</v>
      </c>
      <c r="I603" s="23" t="n">
        <v>2422.13</v>
      </c>
      <c r="J603" s="18" t="n">
        <v>-0.121</v>
      </c>
      <c r="K603" s="24" t="n">
        <v>80.3</v>
      </c>
      <c r="L603" s="4" t="n">
        <v>27</v>
      </c>
      <c r="M603" s="4" t="inlineStr">
        <is>
          <t>alta</t>
        </is>
      </c>
      <c r="N603" s="4" t="inlineStr">
        <is>
          <t>por debajo de comparables</t>
        </is>
      </c>
      <c r="O603" s="4" t="n"/>
    </row>
    <row r="604">
      <c r="A604" s="4" t="inlineStr">
        <is>
          <t>MD-0399</t>
        </is>
      </c>
      <c r="B604" s="21" t="n">
        <v>46006</v>
      </c>
      <c r="C604" s="4" t="inlineStr">
        <is>
          <t>Tetuan</t>
        </is>
      </c>
      <c r="D604" s="4" t="n">
        <v>168</v>
      </c>
      <c r="E604" s="4" t="inlineStr">
        <is>
          <t>a reformar</t>
        </is>
      </c>
      <c r="F604" s="22" t="n">
        <v>743000</v>
      </c>
      <c r="G604" s="23" t="n">
        <v>4422.62</v>
      </c>
      <c r="H604" s="22" t="n"/>
      <c r="I604" s="23" t="n"/>
      <c r="J604" s="18" t="n"/>
      <c r="K604" s="24" t="n"/>
      <c r="L604" s="4" t="n">
        <v>4</v>
      </c>
      <c r="M604" s="4" t="inlineStr">
        <is>
          <t>sin muestra</t>
        </is>
      </c>
      <c r="N604" s="4" t="inlineStr">
        <is>
          <t>no valorable</t>
        </is>
      </c>
      <c r="O604" s="4" t="inlineStr">
        <is>
          <t>segmento con pocas operaciones comparables</t>
        </is>
      </c>
    </row>
    <row r="605">
      <c r="A605" s="4" t="inlineStr">
        <is>
          <t>MD-1367</t>
        </is>
      </c>
      <c r="B605" s="21" t="n">
        <v>46006</v>
      </c>
      <c r="C605" s="4" t="inlineStr">
        <is>
          <t>Latina</t>
        </is>
      </c>
      <c r="D605" s="4" t="n">
        <v>83</v>
      </c>
      <c r="E605" s="4" t="inlineStr">
        <is>
          <t>reformado</t>
        </is>
      </c>
      <c r="F605" s="22" t="n">
        <v>277000</v>
      </c>
      <c r="G605" s="23" t="n">
        <v>3337.35</v>
      </c>
      <c r="H605" s="22" t="n">
        <v>263046</v>
      </c>
      <c r="I605" s="23" t="n">
        <v>3169.23</v>
      </c>
      <c r="J605" s="18" t="n">
        <v>0.053</v>
      </c>
      <c r="K605" s="24" t="n">
        <v>36.7</v>
      </c>
      <c r="L605" s="4" t="n">
        <v>21</v>
      </c>
      <c r="M605" s="4" t="inlineStr">
        <is>
          <t>media</t>
        </is>
      </c>
      <c r="N605" s="4" t="inlineStr">
        <is>
          <t>en linea con comparables</t>
        </is>
      </c>
      <c r="O605" s="4" t="n"/>
    </row>
    <row r="606">
      <c r="A606" s="4" t="inlineStr">
        <is>
          <t>MD-0740</t>
        </is>
      </c>
      <c r="B606" s="21" t="n">
        <v>46006</v>
      </c>
      <c r="C606" s="4" t="inlineStr">
        <is>
          <t>Latina</t>
        </is>
      </c>
      <c r="D606" s="4" t="n">
        <v>84</v>
      </c>
      <c r="E606" s="4" t="inlineStr">
        <is>
          <t>obra nueva</t>
        </is>
      </c>
      <c r="F606" s="22" t="n">
        <v>309000</v>
      </c>
      <c r="G606" s="23" t="n">
        <v>3678.57</v>
      </c>
      <c r="H606" s="22" t="n">
        <v>305648</v>
      </c>
      <c r="I606" s="23" t="n">
        <v>3638.67</v>
      </c>
      <c r="J606" s="18" t="n">
        <v>0.011</v>
      </c>
      <c r="K606" s="24" t="n">
        <v>47.3</v>
      </c>
      <c r="L606" s="4" t="n">
        <v>19</v>
      </c>
      <c r="M606" s="4" t="inlineStr">
        <is>
          <t>media</t>
        </is>
      </c>
      <c r="N606" s="4" t="inlineStr">
        <is>
          <t>en linea con comparables</t>
        </is>
      </c>
      <c r="O606" s="4" t="n"/>
    </row>
    <row r="607">
      <c r="A607" s="4" t="inlineStr">
        <is>
          <t>MD-1653</t>
        </is>
      </c>
      <c r="B607" s="21" t="n">
        <v>46006</v>
      </c>
      <c r="C607" s="4" t="inlineStr">
        <is>
          <t>Tetuan</t>
        </is>
      </c>
      <c r="D607" s="4" t="n">
        <v>80</v>
      </c>
      <c r="E607" s="4" t="inlineStr">
        <is>
          <t>buen estado</t>
        </is>
      </c>
      <c r="F607" s="22" t="n">
        <v>306000</v>
      </c>
      <c r="G607" s="23" t="n">
        <v>3825</v>
      </c>
      <c r="H607" s="22" t="n">
        <v>379613</v>
      </c>
      <c r="I607" s="23" t="n">
        <v>4745.16</v>
      </c>
      <c r="J607" s="18" t="n">
        <v>-0.1939</v>
      </c>
      <c r="K607" s="24" t="n">
        <v>98.5</v>
      </c>
      <c r="L607" s="4" t="n">
        <v>10</v>
      </c>
      <c r="M607" s="4" t="inlineStr">
        <is>
          <t>media</t>
        </is>
      </c>
      <c r="N607" s="4" t="inlineStr">
        <is>
          <t>por debajo de comparables</t>
        </is>
      </c>
      <c r="O607" s="4" t="n"/>
    </row>
    <row r="608">
      <c r="A608" s="4" t="inlineStr">
        <is>
          <t>MD-0380</t>
        </is>
      </c>
      <c r="B608" s="21" t="n">
        <v>46006</v>
      </c>
      <c r="C608" s="4" t="inlineStr">
        <is>
          <t>San Blas-Canillejas</t>
        </is>
      </c>
      <c r="D608" s="4" t="n">
        <v>55</v>
      </c>
      <c r="E608" s="4" t="inlineStr">
        <is>
          <t>buen estado</t>
        </is>
      </c>
      <c r="F608" s="22" t="n">
        <v>156000</v>
      </c>
      <c r="G608" s="23" t="n">
        <v>2836.36</v>
      </c>
      <c r="H608" s="22" t="n">
        <v>178253</v>
      </c>
      <c r="I608" s="23" t="n">
        <v>3240.96</v>
      </c>
      <c r="J608" s="18" t="n">
        <v>-0.1248</v>
      </c>
      <c r="K608" s="24" t="n">
        <v>81.2</v>
      </c>
      <c r="L608" s="4" t="n">
        <v>10</v>
      </c>
      <c r="M608" s="4" t="inlineStr">
        <is>
          <t>media</t>
        </is>
      </c>
      <c r="N608" s="4" t="inlineStr">
        <is>
          <t>por debajo de comparables</t>
        </is>
      </c>
      <c r="O608" s="4" t="n"/>
    </row>
    <row r="609">
      <c r="A609" s="4" t="inlineStr">
        <is>
          <t>MD-0508</t>
        </is>
      </c>
      <c r="B609" s="21" t="n">
        <v>46006</v>
      </c>
      <c r="C609" s="4" t="inlineStr">
        <is>
          <t>Villaverde</t>
        </is>
      </c>
      <c r="D609" s="4" t="n">
        <v>77</v>
      </c>
      <c r="E609" s="4" t="inlineStr">
        <is>
          <t>buen estado</t>
        </is>
      </c>
      <c r="F609" s="22" t="n">
        <v>177000</v>
      </c>
      <c r="G609" s="23" t="n">
        <v>2298.7</v>
      </c>
      <c r="H609" s="22" t="n"/>
      <c r="I609" s="23" t="n"/>
      <c r="J609" s="18" t="n"/>
      <c r="K609" s="24" t="n"/>
      <c r="L609" s="4" t="n">
        <v>1</v>
      </c>
      <c r="M609" s="4" t="inlineStr">
        <is>
          <t>sin muestra</t>
        </is>
      </c>
      <c r="N609" s="4" t="inlineStr">
        <is>
          <t>no valorable</t>
        </is>
      </c>
      <c r="O609" s="4" t="inlineStr">
        <is>
          <t>segmento con pocas operaciones comparables</t>
        </is>
      </c>
    </row>
    <row r="610">
      <c r="A610" s="4" t="inlineStr">
        <is>
          <t>MD-1232</t>
        </is>
      </c>
      <c r="B610" s="21" t="n">
        <v>46006</v>
      </c>
      <c r="C610" s="4" t="inlineStr">
        <is>
          <t>Ciudad Lineal</t>
        </is>
      </c>
      <c r="D610" s="4" t="n">
        <v>51</v>
      </c>
      <c r="E610" s="4" t="inlineStr">
        <is>
          <t>a reformar</t>
        </is>
      </c>
      <c r="F610" s="22" t="n">
        <v>193000</v>
      </c>
      <c r="G610" s="23" t="n">
        <v>3784.31</v>
      </c>
      <c r="H610" s="22" t="n">
        <v>179694</v>
      </c>
      <c r="I610" s="23" t="n">
        <v>3523.41</v>
      </c>
      <c r="J610" s="18" t="n">
        <v>0.074</v>
      </c>
      <c r="K610" s="24" t="n">
        <v>31.5</v>
      </c>
      <c r="L610" s="4" t="n">
        <v>13</v>
      </c>
      <c r="M610" s="4" t="inlineStr">
        <is>
          <t>media</t>
        </is>
      </c>
      <c r="N610" s="4" t="inlineStr">
        <is>
          <t>en linea con comparables</t>
        </is>
      </c>
      <c r="O610" s="4" t="n"/>
    </row>
    <row r="611">
      <c r="A611" s="4" t="inlineStr">
        <is>
          <t>MD-1388</t>
        </is>
      </c>
      <c r="B611" s="21" t="n">
        <v>46007</v>
      </c>
      <c r="C611" s="4" t="inlineStr">
        <is>
          <t>Centro</t>
        </is>
      </c>
      <c r="D611" s="4" t="n">
        <v>75</v>
      </c>
      <c r="E611" s="4" t="inlineStr">
        <is>
          <t>a reformar</t>
        </is>
      </c>
      <c r="F611" s="22" t="n">
        <v>448000</v>
      </c>
      <c r="G611" s="23" t="n">
        <v>5973.33</v>
      </c>
      <c r="H611" s="22" t="n">
        <v>435558</v>
      </c>
      <c r="I611" s="23" t="n">
        <v>5807.44</v>
      </c>
      <c r="J611" s="18" t="n">
        <v>0.0286</v>
      </c>
      <c r="K611" s="24" t="n">
        <v>42.9</v>
      </c>
      <c r="L611" s="4" t="n">
        <v>11</v>
      </c>
      <c r="M611" s="4" t="inlineStr">
        <is>
          <t>media</t>
        </is>
      </c>
      <c r="N611" s="4" t="inlineStr">
        <is>
          <t>en linea con comparables</t>
        </is>
      </c>
      <c r="O611" s="4" t="n"/>
    </row>
    <row r="612">
      <c r="A612" s="4" t="inlineStr">
        <is>
          <t>MD-0127</t>
        </is>
      </c>
      <c r="B612" s="21" t="n">
        <v>46007</v>
      </c>
      <c r="C612" s="4" t="inlineStr">
        <is>
          <t>Moratalaz</t>
        </is>
      </c>
      <c r="D612" s="4" t="n">
        <v>71</v>
      </c>
      <c r="E612" s="4" t="inlineStr">
        <is>
          <t>reformado</t>
        </is>
      </c>
      <c r="F612" s="22" t="n">
        <v>366000</v>
      </c>
      <c r="G612" s="23" t="n">
        <v>5154.93</v>
      </c>
      <c r="H612" s="22" t="n">
        <v>281630</v>
      </c>
      <c r="I612" s="23" t="n">
        <v>3966.61</v>
      </c>
      <c r="J612" s="18" t="n">
        <v>0.2996</v>
      </c>
      <c r="K612" s="24" t="n">
        <v>0</v>
      </c>
      <c r="L612" s="4" t="n">
        <v>5</v>
      </c>
      <c r="M612" s="4" t="inlineStr">
        <is>
          <t>baja</t>
        </is>
      </c>
      <c r="N612" s="4" t="inlineStr">
        <is>
          <t>por encima de comparables</t>
        </is>
      </c>
      <c r="O612" s="4" t="n"/>
    </row>
    <row r="613">
      <c r="A613" s="4" t="inlineStr">
        <is>
          <t>MD-1392</t>
        </is>
      </c>
      <c r="B613" s="21" t="n">
        <v>46007</v>
      </c>
      <c r="C613" s="4" t="inlineStr">
        <is>
          <t>Salamanca</t>
        </is>
      </c>
      <c r="D613" s="4" t="n">
        <v>117</v>
      </c>
      <c r="E613" s="4" t="inlineStr">
        <is>
          <t>buen estado</t>
        </is>
      </c>
      <c r="F613" s="22" t="n">
        <v>626000</v>
      </c>
      <c r="G613" s="23" t="n">
        <v>5350.43</v>
      </c>
      <c r="H613" s="22" t="n"/>
      <c r="I613" s="23" t="n"/>
      <c r="J613" s="18" t="n"/>
      <c r="K613" s="24" t="n"/>
      <c r="L613" s="4" t="n">
        <v>4</v>
      </c>
      <c r="M613" s="4" t="inlineStr">
        <is>
          <t>sin muestra</t>
        </is>
      </c>
      <c r="N613" s="4" t="inlineStr">
        <is>
          <t>no valorable</t>
        </is>
      </c>
      <c r="O613" s="4" t="inlineStr">
        <is>
          <t>segmento con pocas operaciones comparables</t>
        </is>
      </c>
    </row>
    <row r="614">
      <c r="A614" s="4" t="inlineStr">
        <is>
          <t>MD-0609</t>
        </is>
      </c>
      <c r="B614" s="21" t="n">
        <v>46007</v>
      </c>
      <c r="C614" s="4" t="inlineStr">
        <is>
          <t>Puente de Vallecas</t>
        </is>
      </c>
      <c r="D614" s="4" t="n">
        <v>33</v>
      </c>
      <c r="E614" s="4" t="inlineStr">
        <is>
          <t>a reformar</t>
        </is>
      </c>
      <c r="F614" s="22" t="n">
        <v>89000</v>
      </c>
      <c r="G614" s="23" t="n">
        <v>2696.97</v>
      </c>
      <c r="H614" s="22" t="n">
        <v>82937</v>
      </c>
      <c r="I614" s="23" t="n">
        <v>2513.26</v>
      </c>
      <c r="J614" s="18" t="n">
        <v>0.0731</v>
      </c>
      <c r="K614" s="24" t="n">
        <v>31.7</v>
      </c>
      <c r="L614" s="4" t="n">
        <v>5</v>
      </c>
      <c r="M614" s="4" t="inlineStr">
        <is>
          <t>baja</t>
        </is>
      </c>
      <c r="N614" s="4" t="inlineStr">
        <is>
          <t>en linea con comparables</t>
        </is>
      </c>
      <c r="O614" s="4" t="n"/>
    </row>
    <row r="615">
      <c r="A615" s="4" t="inlineStr">
        <is>
          <t>MD-0328</t>
        </is>
      </c>
      <c r="B615" s="21" t="n">
        <v>46007</v>
      </c>
      <c r="C615" s="4" t="inlineStr">
        <is>
          <t>Usera</t>
        </is>
      </c>
      <c r="D615" s="4" t="n">
        <v>74</v>
      </c>
      <c r="E615" s="4" t="inlineStr">
        <is>
          <t>buen estado</t>
        </is>
      </c>
      <c r="F615" s="22" t="n">
        <v>201000</v>
      </c>
      <c r="G615" s="23" t="n">
        <v>2716.22</v>
      </c>
      <c r="H615" s="22" t="n">
        <v>247189</v>
      </c>
      <c r="I615" s="23" t="n">
        <v>3340.4</v>
      </c>
      <c r="J615" s="18" t="n">
        <v>-0.1869</v>
      </c>
      <c r="K615" s="24" t="n">
        <v>96.7</v>
      </c>
      <c r="L615" s="4" t="n">
        <v>9</v>
      </c>
      <c r="M615" s="4" t="inlineStr">
        <is>
          <t>media</t>
        </is>
      </c>
      <c r="N615" s="4" t="inlineStr">
        <is>
          <t>por debajo de comparables</t>
        </is>
      </c>
      <c r="O615" s="4" t="n"/>
    </row>
    <row r="616">
      <c r="A616" s="4" t="inlineStr">
        <is>
          <t>MD-0804</t>
        </is>
      </c>
      <c r="B616" s="21" t="n">
        <v>46008</v>
      </c>
      <c r="C616" s="4" t="inlineStr">
        <is>
          <t>Chamartin</t>
        </is>
      </c>
      <c r="D616" s="4" t="n">
        <v>94</v>
      </c>
      <c r="E616" s="4" t="inlineStr">
        <is>
          <t>reformado</t>
        </is>
      </c>
      <c r="F616" s="22" t="n">
        <v>740000</v>
      </c>
      <c r="G616" s="23" t="n">
        <v>7872.34</v>
      </c>
      <c r="H616" s="22" t="n">
        <v>742435</v>
      </c>
      <c r="I616" s="23" t="n">
        <v>7898.25</v>
      </c>
      <c r="J616" s="18" t="n">
        <v>-0.0033</v>
      </c>
      <c r="K616" s="24" t="n">
        <v>50.8</v>
      </c>
      <c r="L616" s="4" t="n">
        <v>9</v>
      </c>
      <c r="M616" s="4" t="inlineStr">
        <is>
          <t>media</t>
        </is>
      </c>
      <c r="N616" s="4" t="inlineStr">
        <is>
          <t>en linea con comparables</t>
        </is>
      </c>
      <c r="O616" s="4" t="n"/>
    </row>
    <row r="617">
      <c r="A617" s="4" t="inlineStr">
        <is>
          <t>MD-1778</t>
        </is>
      </c>
      <c r="B617" s="21" t="n">
        <v>46008</v>
      </c>
      <c r="C617" s="4" t="inlineStr">
        <is>
          <t>Hortaleza</t>
        </is>
      </c>
      <c r="D617" s="4" t="n">
        <v>188</v>
      </c>
      <c r="E617" s="4" t="inlineStr">
        <is>
          <t>obra nueva</t>
        </is>
      </c>
      <c r="F617" s="22" t="n">
        <v>1156000</v>
      </c>
      <c r="G617" s="23" t="n">
        <v>6148.94</v>
      </c>
      <c r="H617" s="22" t="n">
        <v>1219889</v>
      </c>
      <c r="I617" s="23" t="n">
        <v>6488.77</v>
      </c>
      <c r="J617" s="18" t="n">
        <v>-0.0524</v>
      </c>
      <c r="K617" s="24" t="n">
        <v>63.1</v>
      </c>
      <c r="L617" s="4" t="n">
        <v>5</v>
      </c>
      <c r="M617" s="4" t="inlineStr">
        <is>
          <t>baja</t>
        </is>
      </c>
      <c r="N617" s="4" t="inlineStr">
        <is>
          <t>en linea con comparables</t>
        </is>
      </c>
      <c r="O617" s="4" t="n"/>
    </row>
    <row r="618">
      <c r="A618" s="4" t="inlineStr">
        <is>
          <t>MD-1391</t>
        </is>
      </c>
      <c r="B618" s="21" t="n">
        <v>46008</v>
      </c>
      <c r="C618" s="4" t="inlineStr">
        <is>
          <t>Chamartin</t>
        </is>
      </c>
      <c r="D618" s="4" t="n">
        <v>103</v>
      </c>
      <c r="E618" s="4" t="inlineStr">
        <is>
          <t>buen estado</t>
        </is>
      </c>
      <c r="F618" s="22" t="n">
        <v>950000</v>
      </c>
      <c r="G618" s="23" t="n">
        <v>9223.299999999999</v>
      </c>
      <c r="H618" s="22" t="n">
        <v>771028</v>
      </c>
      <c r="I618" s="23" t="n">
        <v>7485.71</v>
      </c>
      <c r="J618" s="18" t="n">
        <v>0.2321</v>
      </c>
      <c r="K618" s="24" t="n">
        <v>0</v>
      </c>
      <c r="L618" s="4" t="n">
        <v>7</v>
      </c>
      <c r="M618" s="4" t="inlineStr">
        <is>
          <t>baja</t>
        </is>
      </c>
      <c r="N618" s="4" t="inlineStr">
        <is>
          <t>por encima de comparables</t>
        </is>
      </c>
      <c r="O618" s="4" t="n"/>
    </row>
    <row r="619">
      <c r="A619" s="4" t="inlineStr">
        <is>
          <t>MD-0902</t>
        </is>
      </c>
      <c r="B619" s="21" t="n">
        <v>46008</v>
      </c>
      <c r="C619" s="4" t="inlineStr">
        <is>
          <t>San Blas-Canillejas</t>
        </is>
      </c>
      <c r="D619" s="4" t="n">
        <v>59</v>
      </c>
      <c r="E619" s="4" t="inlineStr">
        <is>
          <t>reformado</t>
        </is>
      </c>
      <c r="F619" s="22" t="n">
        <v>276000</v>
      </c>
      <c r="G619" s="23" t="n">
        <v>4677.97</v>
      </c>
      <c r="H619" s="22" t="n">
        <v>232480</v>
      </c>
      <c r="I619" s="23" t="n">
        <v>3940.33</v>
      </c>
      <c r="J619" s="18" t="n">
        <v>0.1872</v>
      </c>
      <c r="K619" s="24" t="n">
        <v>3.2</v>
      </c>
      <c r="L619" s="4" t="n">
        <v>10</v>
      </c>
      <c r="M619" s="4" t="inlineStr">
        <is>
          <t>media</t>
        </is>
      </c>
      <c r="N619" s="4" t="inlineStr">
        <is>
          <t>por encima de comparables</t>
        </is>
      </c>
      <c r="O619" s="4" t="n"/>
    </row>
    <row r="620">
      <c r="A620" s="4" t="inlineStr">
        <is>
          <t>MD-0954</t>
        </is>
      </c>
      <c r="B620" s="21" t="n">
        <v>46008</v>
      </c>
      <c r="C620" s="4" t="inlineStr">
        <is>
          <t>Arganzuela</t>
        </is>
      </c>
      <c r="D620" s="4" t="n">
        <v>173</v>
      </c>
      <c r="E620" s="4" t="inlineStr">
        <is>
          <t>buen estado</t>
        </is>
      </c>
      <c r="F620" s="22" t="n">
        <v>948000</v>
      </c>
      <c r="G620" s="23" t="n">
        <v>5479.77</v>
      </c>
      <c r="H620" s="22" t="n">
        <v>952718</v>
      </c>
      <c r="I620" s="23" t="n">
        <v>5507.04</v>
      </c>
      <c r="J620" s="18" t="n">
        <v>-0.005</v>
      </c>
      <c r="K620" s="24" t="n">
        <v>51.2</v>
      </c>
      <c r="L620" s="4" t="n">
        <v>6</v>
      </c>
      <c r="M620" s="4" t="inlineStr">
        <is>
          <t>baja</t>
        </is>
      </c>
      <c r="N620" s="4" t="inlineStr">
        <is>
          <t>en linea con comparables</t>
        </is>
      </c>
      <c r="O620" s="4" t="n"/>
    </row>
    <row r="621">
      <c r="A621" s="4" t="inlineStr">
        <is>
          <t>MD-0441</t>
        </is>
      </c>
      <c r="B621" s="21" t="n">
        <v>46008</v>
      </c>
      <c r="C621" s="4" t="inlineStr">
        <is>
          <t>Hortaleza</t>
        </is>
      </c>
      <c r="D621" s="4" t="n">
        <v>60</v>
      </c>
      <c r="E621" s="4" t="inlineStr">
        <is>
          <t>reformado</t>
        </is>
      </c>
      <c r="F621" s="22" t="n">
        <v>405000</v>
      </c>
      <c r="G621" s="23" t="n">
        <v>6750</v>
      </c>
      <c r="H621" s="22" t="n">
        <v>364815</v>
      </c>
      <c r="I621" s="23" t="n">
        <v>6080.25</v>
      </c>
      <c r="J621" s="18" t="n">
        <v>0.1102</v>
      </c>
      <c r="K621" s="24" t="n">
        <v>22.5</v>
      </c>
      <c r="L621" s="4" t="n">
        <v>5</v>
      </c>
      <c r="M621" s="4" t="inlineStr">
        <is>
          <t>baja</t>
        </is>
      </c>
      <c r="N621" s="4" t="inlineStr">
        <is>
          <t>por encima de comparables</t>
        </is>
      </c>
      <c r="O621" s="4" t="n"/>
    </row>
    <row r="622">
      <c r="A622" s="4" t="inlineStr">
        <is>
          <t>MD-0925</t>
        </is>
      </c>
      <c r="B622" s="21" t="n">
        <v>46009</v>
      </c>
      <c r="C622" s="4" t="inlineStr">
        <is>
          <t>Centro</t>
        </is>
      </c>
      <c r="D622" s="4" t="n">
        <v>97</v>
      </c>
      <c r="E622" s="4" t="inlineStr">
        <is>
          <t>buen estado</t>
        </is>
      </c>
      <c r="F622" s="22" t="n">
        <v>655000</v>
      </c>
      <c r="G622" s="23" t="n">
        <v>6752.58</v>
      </c>
      <c r="H622" s="22" t="n">
        <v>787605</v>
      </c>
      <c r="I622" s="23" t="n">
        <v>8119.63</v>
      </c>
      <c r="J622" s="18" t="n">
        <v>-0.1684</v>
      </c>
      <c r="K622" s="24" t="n">
        <v>92.09999999999999</v>
      </c>
      <c r="L622" s="4" t="n">
        <v>6</v>
      </c>
      <c r="M622" s="4" t="inlineStr">
        <is>
          <t>baja</t>
        </is>
      </c>
      <c r="N622" s="4" t="inlineStr">
        <is>
          <t>por debajo de comparables</t>
        </is>
      </c>
      <c r="O622" s="4" t="n"/>
    </row>
    <row r="623">
      <c r="A623" s="4" t="inlineStr">
        <is>
          <t>MD-1862</t>
        </is>
      </c>
      <c r="B623" s="21" t="n">
        <v>46009</v>
      </c>
      <c r="C623" s="4" t="inlineStr">
        <is>
          <t>Tetuan</t>
        </is>
      </c>
      <c r="D623" s="4" t="n">
        <v>90</v>
      </c>
      <c r="E623" s="4" t="inlineStr">
        <is>
          <t>buen estado</t>
        </is>
      </c>
      <c r="F623" s="22" t="n">
        <v>626000</v>
      </c>
      <c r="G623" s="23" t="n">
        <v>6955.56</v>
      </c>
      <c r="H623" s="22" t="n">
        <v>452440</v>
      </c>
      <c r="I623" s="23" t="n">
        <v>5027.12</v>
      </c>
      <c r="J623" s="18" t="n">
        <v>0.3836</v>
      </c>
      <c r="K623" s="24" t="n">
        <v>0</v>
      </c>
      <c r="L623" s="4" t="n">
        <v>10</v>
      </c>
      <c r="M623" s="4" t="inlineStr">
        <is>
          <t>media</t>
        </is>
      </c>
      <c r="N623" s="4" t="inlineStr">
        <is>
          <t>por encima de comparables</t>
        </is>
      </c>
      <c r="O623" s="4" t="n"/>
    </row>
    <row r="624">
      <c r="A624" s="4" t="inlineStr">
        <is>
          <t>MD-0646</t>
        </is>
      </c>
      <c r="B624" s="21" t="n">
        <v>46009</v>
      </c>
      <c r="C624" s="4" t="inlineStr">
        <is>
          <t>Centro</t>
        </is>
      </c>
      <c r="D624" s="4" t="n">
        <v>103</v>
      </c>
      <c r="E624" s="4" t="inlineStr">
        <is>
          <t>reformado</t>
        </is>
      </c>
      <c r="F624" s="22" t="n">
        <v>815000</v>
      </c>
      <c r="G624" s="23" t="n">
        <v>7912.62</v>
      </c>
      <c r="H624" s="22" t="n">
        <v>854903</v>
      </c>
      <c r="I624" s="23" t="n">
        <v>8300.02</v>
      </c>
      <c r="J624" s="18" t="n">
        <v>-0.0467</v>
      </c>
      <c r="K624" s="24" t="n">
        <v>61.7</v>
      </c>
      <c r="L624" s="4" t="n">
        <v>7</v>
      </c>
      <c r="M624" s="4" t="inlineStr">
        <is>
          <t>baja</t>
        </is>
      </c>
      <c r="N624" s="4" t="inlineStr">
        <is>
          <t>en linea con comparables</t>
        </is>
      </c>
      <c r="O624" s="4" t="n"/>
    </row>
    <row r="625">
      <c r="A625" s="4" t="inlineStr">
        <is>
          <t>MD-0579</t>
        </is>
      </c>
      <c r="B625" s="21" t="n">
        <v>46009</v>
      </c>
      <c r="C625" s="4" t="inlineStr">
        <is>
          <t>Hortaleza</t>
        </is>
      </c>
      <c r="D625" s="4" t="n">
        <v>169</v>
      </c>
      <c r="E625" s="4" t="inlineStr">
        <is>
          <t>buen estado</t>
        </is>
      </c>
      <c r="F625" s="22" t="n">
        <v>936000</v>
      </c>
      <c r="G625" s="23" t="n">
        <v>5538.46</v>
      </c>
      <c r="H625" s="22" t="n">
        <v>904465</v>
      </c>
      <c r="I625" s="23" t="n">
        <v>5351.86</v>
      </c>
      <c r="J625" s="18" t="n">
        <v>0.0349</v>
      </c>
      <c r="K625" s="24" t="n">
        <v>41.3</v>
      </c>
      <c r="L625" s="4" t="n">
        <v>10</v>
      </c>
      <c r="M625" s="4" t="inlineStr">
        <is>
          <t>media</t>
        </is>
      </c>
      <c r="N625" s="4" t="inlineStr">
        <is>
          <t>en linea con comparables</t>
        </is>
      </c>
      <c r="O625" s="4" t="n"/>
    </row>
    <row r="626">
      <c r="A626" s="4" t="inlineStr">
        <is>
          <t>MD-0322</t>
        </is>
      </c>
      <c r="B626" s="21" t="n">
        <v>46009</v>
      </c>
      <c r="C626" s="4" t="inlineStr">
        <is>
          <t>Hortaleza</t>
        </is>
      </c>
      <c r="D626" s="4" t="n">
        <v>103</v>
      </c>
      <c r="E626" s="4" t="inlineStr">
        <is>
          <t>a reformar</t>
        </is>
      </c>
      <c r="F626" s="22" t="n">
        <v>463000</v>
      </c>
      <c r="G626" s="23" t="n">
        <v>4495.15</v>
      </c>
      <c r="H626" s="22" t="n">
        <v>466211</v>
      </c>
      <c r="I626" s="23" t="n">
        <v>4526.32</v>
      </c>
      <c r="J626" s="18" t="n">
        <v>-0.0069</v>
      </c>
      <c r="K626" s="24" t="n">
        <v>51.7</v>
      </c>
      <c r="L626" s="4" t="n">
        <v>11</v>
      </c>
      <c r="M626" s="4" t="inlineStr">
        <is>
          <t>media</t>
        </is>
      </c>
      <c r="N626" s="4" t="inlineStr">
        <is>
          <t>en linea con comparables</t>
        </is>
      </c>
      <c r="O626" s="4" t="n"/>
    </row>
    <row r="627">
      <c r="A627" s="4" t="inlineStr">
        <is>
          <t>MD-1808</t>
        </is>
      </c>
      <c r="B627" s="21" t="n">
        <v>46009</v>
      </c>
      <c r="C627" s="4" t="inlineStr">
        <is>
          <t>Puente de Vallecas</t>
        </is>
      </c>
      <c r="D627" s="4" t="n">
        <v>107</v>
      </c>
      <c r="E627" s="4" t="inlineStr">
        <is>
          <t>buen estado</t>
        </is>
      </c>
      <c r="F627" s="22" t="n">
        <v>298000</v>
      </c>
      <c r="G627" s="23" t="n">
        <v>2785.05</v>
      </c>
      <c r="H627" s="22" t="n">
        <v>324444</v>
      </c>
      <c r="I627" s="23" t="n">
        <v>3032.19</v>
      </c>
      <c r="J627" s="18" t="n">
        <v>-0.0815</v>
      </c>
      <c r="K627" s="24" t="n">
        <v>70.40000000000001</v>
      </c>
      <c r="L627" s="4" t="n">
        <v>5</v>
      </c>
      <c r="M627" s="4" t="inlineStr">
        <is>
          <t>baja</t>
        </is>
      </c>
      <c r="N627" s="4" t="inlineStr">
        <is>
          <t>en linea con comparables</t>
        </is>
      </c>
      <c r="O627" s="4" t="n"/>
    </row>
    <row r="628">
      <c r="A628" s="4" t="inlineStr">
        <is>
          <t>MD-0590</t>
        </is>
      </c>
      <c r="B628" s="21" t="n">
        <v>46009</v>
      </c>
      <c r="C628" s="4" t="inlineStr">
        <is>
          <t>Ciudad Lineal</t>
        </is>
      </c>
      <c r="D628" s="4" t="n">
        <v>80</v>
      </c>
      <c r="E628" s="4" t="inlineStr">
        <is>
          <t>a reformar</t>
        </is>
      </c>
      <c r="F628" s="22" t="n">
        <v>382000</v>
      </c>
      <c r="G628" s="23" t="n">
        <v>4775</v>
      </c>
      <c r="H628" s="22" t="n">
        <v>368174</v>
      </c>
      <c r="I628" s="23" t="n">
        <v>4602.17</v>
      </c>
      <c r="J628" s="18" t="n">
        <v>0.0376</v>
      </c>
      <c r="K628" s="24" t="n">
        <v>40.6</v>
      </c>
      <c r="L628" s="4" t="n">
        <v>12</v>
      </c>
      <c r="M628" s="4" t="inlineStr">
        <is>
          <t>media</t>
        </is>
      </c>
      <c r="N628" s="4" t="inlineStr">
        <is>
          <t>en linea con comparables</t>
        </is>
      </c>
      <c r="O628" s="4" t="n"/>
    </row>
    <row r="629">
      <c r="A629" s="4" t="inlineStr">
        <is>
          <t>MD-1680</t>
        </is>
      </c>
      <c r="B629" s="21" t="n">
        <v>46010</v>
      </c>
      <c r="C629" s="4" t="inlineStr">
        <is>
          <t>Puente de Vallecas</t>
        </is>
      </c>
      <c r="D629" s="4" t="n">
        <v>51</v>
      </c>
      <c r="E629" s="4" t="inlineStr">
        <is>
          <t>buen estado</t>
        </is>
      </c>
      <c r="F629" s="22" t="n">
        <v>133000</v>
      </c>
      <c r="G629" s="23" t="n">
        <v>2607.84</v>
      </c>
      <c r="H629" s="22" t="n">
        <v>129045</v>
      </c>
      <c r="I629" s="23" t="n">
        <v>2530.3</v>
      </c>
      <c r="J629" s="18" t="n">
        <v>0.0306</v>
      </c>
      <c r="K629" s="24" t="n">
        <v>42.3</v>
      </c>
      <c r="L629" s="4" t="n">
        <v>19</v>
      </c>
      <c r="M629" s="4" t="inlineStr">
        <is>
          <t>alta</t>
        </is>
      </c>
      <c r="N629" s="4" t="inlineStr">
        <is>
          <t>en linea con comparables</t>
        </is>
      </c>
      <c r="O629" s="4" t="n"/>
    </row>
    <row r="630">
      <c r="A630" s="4" t="inlineStr">
        <is>
          <t>MD-1059</t>
        </is>
      </c>
      <c r="B630" s="21" t="n">
        <v>46010</v>
      </c>
      <c r="C630" s="4" t="inlineStr">
        <is>
          <t>San Blas-Canillejas</t>
        </is>
      </c>
      <c r="D630" s="4" t="n">
        <v>111</v>
      </c>
      <c r="E630" s="4" t="inlineStr">
        <is>
          <t>buen estado</t>
        </is>
      </c>
      <c r="F630" s="22" t="n">
        <v>324000</v>
      </c>
      <c r="G630" s="23" t="n">
        <v>2918.92</v>
      </c>
      <c r="H630" s="22" t="n"/>
      <c r="I630" s="23" t="n"/>
      <c r="J630" s="18" t="n"/>
      <c r="K630" s="24" t="n"/>
      <c r="L630" s="4" t="n">
        <v>4</v>
      </c>
      <c r="M630" s="4" t="inlineStr">
        <is>
          <t>sin muestra</t>
        </is>
      </c>
      <c r="N630" s="4" t="inlineStr">
        <is>
          <t>no valorable</t>
        </is>
      </c>
      <c r="O630" s="4" t="inlineStr">
        <is>
          <t>segmento con pocas operaciones comparables</t>
        </is>
      </c>
    </row>
    <row r="631">
      <c r="A631" s="4" t="inlineStr">
        <is>
          <t>MD-1307</t>
        </is>
      </c>
      <c r="B631" s="21" t="n">
        <v>46010</v>
      </c>
      <c r="C631" s="4" t="inlineStr">
        <is>
          <t>Carabanchel</t>
        </is>
      </c>
      <c r="D631" s="4" t="n">
        <v>179</v>
      </c>
      <c r="E631" s="4" t="inlineStr">
        <is>
          <t>buen estado</t>
        </is>
      </c>
      <c r="F631" s="22" t="n">
        <v>676000</v>
      </c>
      <c r="G631" s="23" t="n">
        <v>3776.54</v>
      </c>
      <c r="H631" s="22" t="n"/>
      <c r="I631" s="23" t="n"/>
      <c r="J631" s="18" t="n"/>
      <c r="K631" s="24" t="n"/>
      <c r="L631" s="4" t="n">
        <v>3</v>
      </c>
      <c r="M631" s="4" t="inlineStr">
        <is>
          <t>sin muestra</t>
        </is>
      </c>
      <c r="N631" s="4" t="inlineStr">
        <is>
          <t>no valorable</t>
        </is>
      </c>
      <c r="O631" s="4" t="inlineStr">
        <is>
          <t>segmento con pocas operaciones comparables</t>
        </is>
      </c>
    </row>
    <row r="632">
      <c r="A632" s="4" t="inlineStr">
        <is>
          <t>MD-0541</t>
        </is>
      </c>
      <c r="B632" s="21" t="n">
        <v>46010</v>
      </c>
      <c r="C632" s="4" t="inlineStr">
        <is>
          <t>Fuencarral-El Pardo</t>
        </is>
      </c>
      <c r="D632" s="4" t="n">
        <v>57</v>
      </c>
      <c r="E632" s="4" t="inlineStr">
        <is>
          <t>buen estado</t>
        </is>
      </c>
      <c r="F632" s="22" t="n">
        <v>194000</v>
      </c>
      <c r="G632" s="23" t="n">
        <v>3403.51</v>
      </c>
      <c r="H632" s="22" t="n">
        <v>276551</v>
      </c>
      <c r="I632" s="23" t="n">
        <v>4851.77</v>
      </c>
      <c r="J632" s="18" t="n">
        <v>-0.2985</v>
      </c>
      <c r="K632" s="24" t="n">
        <v>100</v>
      </c>
      <c r="L632" s="4" t="n">
        <v>11</v>
      </c>
      <c r="M632" s="4" t="inlineStr">
        <is>
          <t>media</t>
        </is>
      </c>
      <c r="N632" s="4" t="inlineStr">
        <is>
          <t>por debajo de comparables</t>
        </is>
      </c>
      <c r="O632" s="4" t="n"/>
    </row>
    <row r="633">
      <c r="A633" s="4" t="inlineStr">
        <is>
          <t>MD-0442</t>
        </is>
      </c>
      <c r="B633" s="21" t="n">
        <v>46010</v>
      </c>
      <c r="C633" s="4" t="inlineStr">
        <is>
          <t>Latina</t>
        </is>
      </c>
      <c r="D633" s="4" t="n">
        <v>29</v>
      </c>
      <c r="E633" s="4" t="inlineStr">
        <is>
          <t>a reformar</t>
        </is>
      </c>
      <c r="F633" s="22" t="n">
        <v>74000</v>
      </c>
      <c r="G633" s="23" t="n">
        <v>2551.72</v>
      </c>
      <c r="H633" s="22" t="n"/>
      <c r="I633" s="23" t="n"/>
      <c r="J633" s="18" t="n"/>
      <c r="K633" s="24" t="n"/>
      <c r="L633" s="4" t="n">
        <v>1</v>
      </c>
      <c r="M633" s="4" t="inlineStr">
        <is>
          <t>sin muestra</t>
        </is>
      </c>
      <c r="N633" s="4" t="inlineStr">
        <is>
          <t>no valorable</t>
        </is>
      </c>
      <c r="O633" s="4" t="inlineStr">
        <is>
          <t>segmento con pocas operaciones comparables</t>
        </is>
      </c>
    </row>
    <row r="634">
      <c r="A634" s="4" t="inlineStr">
        <is>
          <t>MD-1215</t>
        </is>
      </c>
      <c r="B634" s="21" t="n">
        <v>46010</v>
      </c>
      <c r="C634" s="4" t="inlineStr">
        <is>
          <t>Chamartin</t>
        </is>
      </c>
      <c r="D634" s="4" t="n">
        <v>71</v>
      </c>
      <c r="E634" s="4" t="inlineStr">
        <is>
          <t>buen estado</t>
        </is>
      </c>
      <c r="F634" s="22" t="n">
        <v>480000</v>
      </c>
      <c r="G634" s="23" t="n">
        <v>6760.56</v>
      </c>
      <c r="H634" s="22" t="n">
        <v>511037</v>
      </c>
      <c r="I634" s="23" t="n">
        <v>7197.7</v>
      </c>
      <c r="J634" s="18" t="n">
        <v>-0.0607</v>
      </c>
      <c r="K634" s="24" t="n">
        <v>65.2</v>
      </c>
      <c r="L634" s="4" t="n">
        <v>12</v>
      </c>
      <c r="M634" s="4" t="inlineStr">
        <is>
          <t>media</t>
        </is>
      </c>
      <c r="N634" s="4" t="inlineStr">
        <is>
          <t>en linea con comparables</t>
        </is>
      </c>
      <c r="O634" s="4" t="n"/>
    </row>
    <row r="635">
      <c r="A635" s="4" t="inlineStr">
        <is>
          <t>MD-1775</t>
        </is>
      </c>
      <c r="B635" s="21" t="n">
        <v>46010</v>
      </c>
      <c r="C635" s="4" t="inlineStr">
        <is>
          <t>Fuencarral-El Pardo</t>
        </is>
      </c>
      <c r="D635" s="4" t="n">
        <v>115</v>
      </c>
      <c r="E635" s="4" t="inlineStr">
        <is>
          <t>reformado</t>
        </is>
      </c>
      <c r="F635" s="22" t="n">
        <v>730000</v>
      </c>
      <c r="G635" s="23" t="n">
        <v>6347.83</v>
      </c>
      <c r="H635" s="22" t="n">
        <v>703939</v>
      </c>
      <c r="I635" s="23" t="n">
        <v>6121.21</v>
      </c>
      <c r="J635" s="18" t="n">
        <v>0.037</v>
      </c>
      <c r="K635" s="24" t="n">
        <v>40.7</v>
      </c>
      <c r="L635" s="4" t="n">
        <v>11</v>
      </c>
      <c r="M635" s="4" t="inlineStr">
        <is>
          <t>media</t>
        </is>
      </c>
      <c r="N635" s="4" t="inlineStr">
        <is>
          <t>en linea con comparables</t>
        </is>
      </c>
      <c r="O635" s="4" t="n"/>
    </row>
    <row r="636">
      <c r="A636" s="4" t="inlineStr">
        <is>
          <t>MD-1065</t>
        </is>
      </c>
      <c r="B636" s="21" t="n">
        <v>46011</v>
      </c>
      <c r="C636" s="4" t="inlineStr">
        <is>
          <t>Vicalvaro</t>
        </is>
      </c>
      <c r="D636" s="4" t="n">
        <v>121</v>
      </c>
      <c r="E636" s="4" t="inlineStr">
        <is>
          <t>buen estado</t>
        </is>
      </c>
      <c r="F636" s="22" t="n">
        <v>462000</v>
      </c>
      <c r="G636" s="23" t="n">
        <v>3818.18</v>
      </c>
      <c r="H636" s="22" t="n"/>
      <c r="I636" s="23" t="n"/>
      <c r="J636" s="18" t="n"/>
      <c r="K636" s="24" t="n"/>
      <c r="L636" s="4" t="n">
        <v>4</v>
      </c>
      <c r="M636" s="4" t="inlineStr">
        <is>
          <t>sin muestra</t>
        </is>
      </c>
      <c r="N636" s="4" t="inlineStr">
        <is>
          <t>no valorable</t>
        </is>
      </c>
      <c r="O636" s="4" t="inlineStr">
        <is>
          <t>segmento con pocas operaciones comparables</t>
        </is>
      </c>
    </row>
    <row r="637">
      <c r="A637" s="4" t="inlineStr">
        <is>
          <t>MD-1943</t>
        </is>
      </c>
      <c r="B637" s="21" t="n">
        <v>46011</v>
      </c>
      <c r="C637" s="4" t="inlineStr">
        <is>
          <t>San Blas-Canillejas</t>
        </is>
      </c>
      <c r="D637" s="4" t="n">
        <v>60</v>
      </c>
      <c r="E637" s="4" t="inlineStr">
        <is>
          <t>a reformar</t>
        </is>
      </c>
      <c r="F637" s="22" t="n">
        <v>158000</v>
      </c>
      <c r="G637" s="23" t="n">
        <v>2633.33</v>
      </c>
      <c r="H637" s="22" t="n">
        <v>169523</v>
      </c>
      <c r="I637" s="23" t="n">
        <v>2825.38</v>
      </c>
      <c r="J637" s="18" t="n">
        <v>-0.068</v>
      </c>
      <c r="K637" s="24" t="n">
        <v>67</v>
      </c>
      <c r="L637" s="4" t="n">
        <v>12</v>
      </c>
      <c r="M637" s="4" t="inlineStr">
        <is>
          <t>media</t>
        </is>
      </c>
      <c r="N637" s="4" t="inlineStr">
        <is>
          <t>en linea con comparables</t>
        </is>
      </c>
      <c r="O637" s="4" t="n"/>
    </row>
    <row r="638">
      <c r="A638" s="4" t="inlineStr">
        <is>
          <t>MD-1904</t>
        </is>
      </c>
      <c r="B638" s="21" t="n">
        <v>46011</v>
      </c>
      <c r="C638" s="4" t="inlineStr">
        <is>
          <t>Centro</t>
        </is>
      </c>
      <c r="D638" s="4" t="n">
        <v>32</v>
      </c>
      <c r="E638" s="4" t="inlineStr">
        <is>
          <t>buen estado</t>
        </is>
      </c>
      <c r="F638" s="22" t="n">
        <v>304000</v>
      </c>
      <c r="G638" s="23" t="n">
        <v>9500</v>
      </c>
      <c r="H638" s="22" t="n">
        <v>275823</v>
      </c>
      <c r="I638" s="23" t="n">
        <v>8619.459999999999</v>
      </c>
      <c r="J638" s="18" t="n">
        <v>0.1022</v>
      </c>
      <c r="K638" s="24" t="n">
        <v>24.5</v>
      </c>
      <c r="L638" s="4" t="n">
        <v>8</v>
      </c>
      <c r="M638" s="4" t="inlineStr">
        <is>
          <t>media</t>
        </is>
      </c>
      <c r="N638" s="4" t="inlineStr">
        <is>
          <t>por encima de comparables</t>
        </is>
      </c>
      <c r="O638" s="4" t="n"/>
    </row>
    <row r="639">
      <c r="A639" s="4" t="inlineStr">
        <is>
          <t>MD-1817</t>
        </is>
      </c>
      <c r="B639" s="21" t="n">
        <v>46012</v>
      </c>
      <c r="C639" s="4" t="inlineStr">
        <is>
          <t>Salamanca</t>
        </is>
      </c>
      <c r="D639" s="4" t="n">
        <v>65</v>
      </c>
      <c r="E639" s="4" t="inlineStr">
        <is>
          <t>reformado</t>
        </is>
      </c>
      <c r="F639" s="22" t="n">
        <v>469000</v>
      </c>
      <c r="G639" s="23" t="n">
        <v>7215.38</v>
      </c>
      <c r="H639" s="22" t="n">
        <v>527225</v>
      </c>
      <c r="I639" s="23" t="n">
        <v>8111.15</v>
      </c>
      <c r="J639" s="18" t="n">
        <v>-0.1104</v>
      </c>
      <c r="K639" s="24" t="n">
        <v>77.59999999999999</v>
      </c>
      <c r="L639" s="4" t="n">
        <v>12</v>
      </c>
      <c r="M639" s="4" t="inlineStr">
        <is>
          <t>media</t>
        </is>
      </c>
      <c r="N639" s="4" t="inlineStr">
        <is>
          <t>por debajo de comparables</t>
        </is>
      </c>
      <c r="O639" s="4" t="n"/>
    </row>
    <row r="640">
      <c r="A640" s="4" t="inlineStr">
        <is>
          <t>MD-0355</t>
        </is>
      </c>
      <c r="B640" s="21" t="n">
        <v>46012</v>
      </c>
      <c r="C640" s="4" t="inlineStr">
        <is>
          <t>Ciudad Lineal</t>
        </is>
      </c>
      <c r="D640" s="4" t="n">
        <v>43</v>
      </c>
      <c r="E640" s="4" t="inlineStr">
        <is>
          <t>buen estado</t>
        </is>
      </c>
      <c r="F640" s="22" t="n">
        <v>203000</v>
      </c>
      <c r="G640" s="23" t="n">
        <v>4720.93</v>
      </c>
      <c r="H640" s="22" t="n">
        <v>175561</v>
      </c>
      <c r="I640" s="23" t="n">
        <v>4082.8</v>
      </c>
      <c r="J640" s="18" t="n">
        <v>0.1563</v>
      </c>
      <c r="K640" s="24" t="n">
        <v>10.9</v>
      </c>
      <c r="L640" s="4" t="n">
        <v>12</v>
      </c>
      <c r="M640" s="4" t="inlineStr">
        <is>
          <t>media</t>
        </is>
      </c>
      <c r="N640" s="4" t="inlineStr">
        <is>
          <t>por encima de comparables</t>
        </is>
      </c>
      <c r="O640" s="4" t="n"/>
    </row>
    <row r="641">
      <c r="A641" s="4" t="inlineStr">
        <is>
          <t>MD-0424</t>
        </is>
      </c>
      <c r="B641" s="21" t="n">
        <v>46012</v>
      </c>
      <c r="C641" s="4" t="inlineStr">
        <is>
          <t>Centro</t>
        </is>
      </c>
      <c r="D641" s="4" t="n">
        <v>66</v>
      </c>
      <c r="E641" s="4" t="inlineStr">
        <is>
          <t>buen estado</t>
        </is>
      </c>
      <c r="F641" s="22" t="n">
        <v>387000</v>
      </c>
      <c r="G641" s="23" t="n">
        <v>5863.64</v>
      </c>
      <c r="H641" s="22" t="n">
        <v>458980</v>
      </c>
      <c r="I641" s="23" t="n">
        <v>6954.24</v>
      </c>
      <c r="J641" s="18" t="n">
        <v>-0.1568</v>
      </c>
      <c r="K641" s="24" t="n">
        <v>89.2</v>
      </c>
      <c r="L641" s="4" t="n">
        <v>12</v>
      </c>
      <c r="M641" s="4" t="inlineStr">
        <is>
          <t>media</t>
        </is>
      </c>
      <c r="N641" s="4" t="inlineStr">
        <is>
          <t>por debajo de comparables</t>
        </is>
      </c>
      <c r="O641" s="4" t="n"/>
    </row>
    <row r="642">
      <c r="A642" s="4" t="inlineStr">
        <is>
          <t>MD-1959</t>
        </is>
      </c>
      <c r="B642" s="21" t="n">
        <v>46012</v>
      </c>
      <c r="C642" s="4" t="inlineStr">
        <is>
          <t>Tetuan</t>
        </is>
      </c>
      <c r="D642" s="4" t="n">
        <v>58</v>
      </c>
      <c r="E642" s="4" t="inlineStr">
        <is>
          <t>buen estado</t>
        </is>
      </c>
      <c r="F642" s="22" t="n">
        <v>499000</v>
      </c>
      <c r="G642" s="23" t="n">
        <v>8603.450000000001</v>
      </c>
      <c r="H642" s="22" t="n">
        <v>290000</v>
      </c>
      <c r="I642" s="23" t="n">
        <v>5000</v>
      </c>
      <c r="J642" s="18" t="n">
        <v>0.7207</v>
      </c>
      <c r="K642" s="24" t="n">
        <v>0</v>
      </c>
      <c r="L642" s="4" t="n">
        <v>11</v>
      </c>
      <c r="M642" s="4" t="inlineStr">
        <is>
          <t>media</t>
        </is>
      </c>
      <c r="N642" s="4" t="inlineStr">
        <is>
          <t>por encima de comparables</t>
        </is>
      </c>
      <c r="O642" s="4" t="n"/>
    </row>
    <row r="643">
      <c r="A643" s="4" t="inlineStr">
        <is>
          <t>MD-1892</t>
        </is>
      </c>
      <c r="B643" s="21" t="n">
        <v>46012</v>
      </c>
      <c r="C643" s="4" t="inlineStr">
        <is>
          <t>Fuencarral-El Pardo</t>
        </is>
      </c>
      <c r="D643" s="4" t="n">
        <v>111</v>
      </c>
      <c r="E643" s="4" t="inlineStr">
        <is>
          <t>buen estado</t>
        </is>
      </c>
      <c r="F643" s="22" t="n">
        <v>689000</v>
      </c>
      <c r="G643" s="23" t="n">
        <v>6207.21</v>
      </c>
      <c r="H643" s="22" t="n">
        <v>641621</v>
      </c>
      <c r="I643" s="23" t="n">
        <v>5780.37</v>
      </c>
      <c r="J643" s="18" t="n">
        <v>0.0738</v>
      </c>
      <c r="K643" s="24" t="n">
        <v>31.5</v>
      </c>
      <c r="L643" s="4" t="n">
        <v>14</v>
      </c>
      <c r="M643" s="4" t="inlineStr">
        <is>
          <t>media</t>
        </is>
      </c>
      <c r="N643" s="4" t="inlineStr">
        <is>
          <t>en linea con comparables</t>
        </is>
      </c>
      <c r="O643" s="4" t="n"/>
    </row>
    <row r="644">
      <c r="A644" s="4" t="inlineStr">
        <is>
          <t>MD-1105</t>
        </is>
      </c>
      <c r="B644" s="21" t="n">
        <v>46012</v>
      </c>
      <c r="C644" s="4" t="inlineStr">
        <is>
          <t>Latina</t>
        </is>
      </c>
      <c r="D644" s="4" t="n">
        <v>48</v>
      </c>
      <c r="E644" s="4" t="inlineStr">
        <is>
          <t>buen estado</t>
        </is>
      </c>
      <c r="F644" s="22" t="n">
        <v>152000</v>
      </c>
      <c r="G644" s="23" t="n">
        <v>3166.67</v>
      </c>
      <c r="H644" s="22" t="n">
        <v>137755</v>
      </c>
      <c r="I644" s="23" t="n">
        <v>2869.89</v>
      </c>
      <c r="J644" s="18" t="n">
        <v>0.1034</v>
      </c>
      <c r="K644" s="24" t="n">
        <v>24.1</v>
      </c>
      <c r="L644" s="4" t="n">
        <v>14</v>
      </c>
      <c r="M644" s="4" t="inlineStr">
        <is>
          <t>media</t>
        </is>
      </c>
      <c r="N644" s="4" t="inlineStr">
        <is>
          <t>por encima de comparables</t>
        </is>
      </c>
      <c r="O644" s="4" t="n"/>
    </row>
    <row r="645">
      <c r="A645" s="4" t="inlineStr">
        <is>
          <t>MD-1664</t>
        </is>
      </c>
      <c r="B645" s="21" t="n">
        <v>46013</v>
      </c>
      <c r="C645" s="4" t="inlineStr">
        <is>
          <t>Carabanchel</t>
        </is>
      </c>
      <c r="D645" s="4" t="n">
        <v>63</v>
      </c>
      <c r="E645" s="4" t="inlineStr">
        <is>
          <t>buen estado</t>
        </is>
      </c>
      <c r="F645" s="22" t="n">
        <v>170000</v>
      </c>
      <c r="G645" s="23" t="n">
        <v>2698.41</v>
      </c>
      <c r="H645" s="22" t="n">
        <v>215582</v>
      </c>
      <c r="I645" s="23" t="n">
        <v>3421.94</v>
      </c>
      <c r="J645" s="18" t="n">
        <v>-0.2114</v>
      </c>
      <c r="K645" s="24" t="n">
        <v>100</v>
      </c>
      <c r="L645" s="4" t="n">
        <v>18</v>
      </c>
      <c r="M645" s="4" t="inlineStr">
        <is>
          <t>alta</t>
        </is>
      </c>
      <c r="N645" s="4" t="inlineStr">
        <is>
          <t>por debajo de comparables</t>
        </is>
      </c>
      <c r="O645" s="4" t="n"/>
    </row>
    <row r="646">
      <c r="A646" s="4" t="inlineStr">
        <is>
          <t>MD-1354</t>
        </is>
      </c>
      <c r="B646" s="21" t="n">
        <v>46013</v>
      </c>
      <c r="C646" s="4" t="inlineStr">
        <is>
          <t>Ciudad Lineal</t>
        </is>
      </c>
      <c r="D646" s="4" t="n">
        <v>45</v>
      </c>
      <c r="E646" s="4" t="inlineStr">
        <is>
          <t>buen estado</t>
        </is>
      </c>
      <c r="F646" s="22" t="n">
        <v>300000</v>
      </c>
      <c r="G646" s="23" t="n">
        <v>6666.67</v>
      </c>
      <c r="H646" s="22" t="n">
        <v>207972</v>
      </c>
      <c r="I646" s="23" t="n">
        <v>4621.6</v>
      </c>
      <c r="J646" s="18" t="n">
        <v>0.4425</v>
      </c>
      <c r="K646" s="24" t="n">
        <v>0</v>
      </c>
      <c r="L646" s="4" t="n">
        <v>13</v>
      </c>
      <c r="M646" s="4" t="inlineStr">
        <is>
          <t>media</t>
        </is>
      </c>
      <c r="N646" s="4" t="inlineStr">
        <is>
          <t>por encima de comparables</t>
        </is>
      </c>
      <c r="O646" s="4" t="n"/>
    </row>
    <row r="647">
      <c r="A647" s="4" t="inlineStr">
        <is>
          <t>MD-1629</t>
        </is>
      </c>
      <c r="B647" s="21" t="n">
        <v>46013</v>
      </c>
      <c r="C647" s="4" t="inlineStr">
        <is>
          <t>Hortaleza</t>
        </is>
      </c>
      <c r="D647" s="4" t="n">
        <v>59</v>
      </c>
      <c r="E647" s="4" t="inlineStr">
        <is>
          <t>buen estado</t>
        </is>
      </c>
      <c r="F647" s="22" t="n">
        <v>399000</v>
      </c>
      <c r="G647" s="23" t="n">
        <v>6762.71</v>
      </c>
      <c r="H647" s="22" t="n">
        <v>331877</v>
      </c>
      <c r="I647" s="23" t="n">
        <v>5625.04</v>
      </c>
      <c r="J647" s="18" t="n">
        <v>0.2023</v>
      </c>
      <c r="K647" s="24" t="n">
        <v>0</v>
      </c>
      <c r="L647" s="4" t="n">
        <v>6</v>
      </c>
      <c r="M647" s="4" t="inlineStr">
        <is>
          <t>baja</t>
        </is>
      </c>
      <c r="N647" s="4" t="inlineStr">
        <is>
          <t>por encima de comparables</t>
        </is>
      </c>
      <c r="O647" s="4" t="n"/>
    </row>
    <row r="648">
      <c r="A648" s="4" t="inlineStr">
        <is>
          <t>MD-0887</t>
        </is>
      </c>
      <c r="B648" s="21" t="n">
        <v>46013</v>
      </c>
      <c r="C648" s="4" t="inlineStr">
        <is>
          <t>Retiro</t>
        </is>
      </c>
      <c r="D648" s="4" t="n">
        <v>47</v>
      </c>
      <c r="E648" s="4" t="inlineStr">
        <is>
          <t>obra nueva</t>
        </is>
      </c>
      <c r="F648" s="22" t="n">
        <v>329000</v>
      </c>
      <c r="G648" s="23" t="n">
        <v>7000</v>
      </c>
      <c r="H648" s="22" t="n"/>
      <c r="I648" s="23" t="n"/>
      <c r="J648" s="18" t="n"/>
      <c r="K648" s="24" t="n"/>
      <c r="L648" s="4" t="n">
        <v>4</v>
      </c>
      <c r="M648" s="4" t="inlineStr">
        <is>
          <t>sin muestra</t>
        </is>
      </c>
      <c r="N648" s="4" t="inlineStr">
        <is>
          <t>no valorable</t>
        </is>
      </c>
      <c r="O648" s="4" t="inlineStr">
        <is>
          <t>segmento con pocas operaciones comparables</t>
        </is>
      </c>
    </row>
    <row r="649">
      <c r="A649" s="4" t="inlineStr">
        <is>
          <t>MD-0390</t>
        </is>
      </c>
      <c r="B649" s="21" t="n">
        <v>46014</v>
      </c>
      <c r="C649" s="4" t="inlineStr">
        <is>
          <t>Centro</t>
        </is>
      </c>
      <c r="D649" s="4" t="n">
        <v>76</v>
      </c>
      <c r="E649" s="4" t="inlineStr">
        <is>
          <t>buen estado</t>
        </is>
      </c>
      <c r="F649" s="22" t="n">
        <v>554000</v>
      </c>
      <c r="G649" s="23" t="n">
        <v>7289.47</v>
      </c>
      <c r="H649" s="22" t="n">
        <v>580977</v>
      </c>
      <c r="I649" s="23" t="n">
        <v>7644.44</v>
      </c>
      <c r="J649" s="18" t="n">
        <v>-0.0464</v>
      </c>
      <c r="K649" s="24" t="n">
        <v>61.6</v>
      </c>
      <c r="L649" s="4" t="n">
        <v>13</v>
      </c>
      <c r="M649" s="4" t="inlineStr">
        <is>
          <t>media</t>
        </is>
      </c>
      <c r="N649" s="4" t="inlineStr">
        <is>
          <t>en linea con comparables</t>
        </is>
      </c>
      <c r="O649" s="4" t="n"/>
    </row>
    <row r="650">
      <c r="A650" s="4" t="inlineStr">
        <is>
          <t>MD-1115</t>
        </is>
      </c>
      <c r="B650" s="21" t="n">
        <v>46014</v>
      </c>
      <c r="C650" s="4" t="inlineStr">
        <is>
          <t>Villaverde</t>
        </is>
      </c>
      <c r="D650" s="4" t="n">
        <v>45</v>
      </c>
      <c r="E650" s="4" t="inlineStr">
        <is>
          <t>a reformar</t>
        </is>
      </c>
      <c r="F650" s="22" t="n">
        <v>66000</v>
      </c>
      <c r="G650" s="23" t="n">
        <v>1466.67</v>
      </c>
      <c r="H650" s="22" t="n"/>
      <c r="I650" s="23" t="n"/>
      <c r="J650" s="18" t="n"/>
      <c r="K650" s="24" t="n"/>
      <c r="L650" s="4" t="n">
        <v>2</v>
      </c>
      <c r="M650" s="4" t="inlineStr">
        <is>
          <t>sin muestra</t>
        </is>
      </c>
      <c r="N650" s="4" t="inlineStr">
        <is>
          <t>no valorable</t>
        </is>
      </c>
      <c r="O650" s="4" t="inlineStr">
        <is>
          <t>segmento con pocas operaciones comparables</t>
        </is>
      </c>
    </row>
    <row r="651">
      <c r="A651" s="4" t="inlineStr">
        <is>
          <t>MD-1606</t>
        </is>
      </c>
      <c r="B651" s="21" t="n">
        <v>46014</v>
      </c>
      <c r="C651" s="4" t="inlineStr">
        <is>
          <t>Latina</t>
        </is>
      </c>
      <c r="D651" s="4" t="n">
        <v>70</v>
      </c>
      <c r="E651" s="4" t="inlineStr">
        <is>
          <t>buen estado</t>
        </is>
      </c>
      <c r="F651" s="22" t="n">
        <v>290000</v>
      </c>
      <c r="G651" s="23" t="n">
        <v>4142.86</v>
      </c>
      <c r="H651" s="22" t="n">
        <v>228612</v>
      </c>
      <c r="I651" s="23" t="n">
        <v>3265.89</v>
      </c>
      <c r="J651" s="18" t="n">
        <v>0.2685</v>
      </c>
      <c r="K651" s="24" t="n">
        <v>0</v>
      </c>
      <c r="L651" s="4" t="n">
        <v>28</v>
      </c>
      <c r="M651" s="4" t="inlineStr">
        <is>
          <t>media</t>
        </is>
      </c>
      <c r="N651" s="4" t="inlineStr">
        <is>
          <t>por encima de comparables</t>
        </is>
      </c>
      <c r="O651" s="4" t="n"/>
    </row>
    <row r="652">
      <c r="A652" s="4" t="inlineStr">
        <is>
          <t>MD-0020</t>
        </is>
      </c>
      <c r="B652" s="21" t="n">
        <v>46014</v>
      </c>
      <c r="C652" s="4" t="inlineStr">
        <is>
          <t>Hortaleza</t>
        </is>
      </c>
      <c r="D652" s="4" t="n">
        <v>46</v>
      </c>
      <c r="E652" s="4" t="inlineStr">
        <is>
          <t>reformado</t>
        </is>
      </c>
      <c r="F652" s="22" t="n">
        <v>268000</v>
      </c>
      <c r="G652" s="23" t="n">
        <v>5826.09</v>
      </c>
      <c r="H652" s="22" t="n"/>
      <c r="I652" s="23" t="n"/>
      <c r="J652" s="18" t="n"/>
      <c r="K652" s="24" t="n"/>
      <c r="L652" s="4" t="n">
        <v>2</v>
      </c>
      <c r="M652" s="4" t="inlineStr">
        <is>
          <t>sin muestra</t>
        </is>
      </c>
      <c r="N652" s="4" t="inlineStr">
        <is>
          <t>no valorable</t>
        </is>
      </c>
      <c r="O652" s="4" t="inlineStr">
        <is>
          <t>segmento con pocas operaciones comparables</t>
        </is>
      </c>
    </row>
    <row r="653">
      <c r="A653" s="4" t="inlineStr">
        <is>
          <t>MD-1031</t>
        </is>
      </c>
      <c r="B653" s="21" t="n">
        <v>46014</v>
      </c>
      <c r="C653" s="4" t="inlineStr">
        <is>
          <t>Hortaleza</t>
        </is>
      </c>
      <c r="D653" s="4" t="n">
        <v>118</v>
      </c>
      <c r="E653" s="4" t="inlineStr">
        <is>
          <t>a reformar</t>
        </is>
      </c>
      <c r="F653" s="22" t="n">
        <v>450000</v>
      </c>
      <c r="G653" s="23" t="n">
        <v>3813.56</v>
      </c>
      <c r="H653" s="22" t="n">
        <v>475339</v>
      </c>
      <c r="I653" s="23" t="n">
        <v>4028.3</v>
      </c>
      <c r="J653" s="18" t="n">
        <v>-0.0533</v>
      </c>
      <c r="K653" s="24" t="n">
        <v>63.3</v>
      </c>
      <c r="L653" s="4" t="n">
        <v>8</v>
      </c>
      <c r="M653" s="4" t="inlineStr">
        <is>
          <t>media</t>
        </is>
      </c>
      <c r="N653" s="4" t="inlineStr">
        <is>
          <t>en linea con comparables</t>
        </is>
      </c>
      <c r="O653" s="4" t="n"/>
    </row>
    <row r="654">
      <c r="A654" s="4" t="inlineStr">
        <is>
          <t>MD-0935</t>
        </is>
      </c>
      <c r="B654" s="21" t="n">
        <v>46014</v>
      </c>
      <c r="C654" s="4" t="inlineStr">
        <is>
          <t>Carabanchel</t>
        </is>
      </c>
      <c r="D654" s="4" t="n">
        <v>78</v>
      </c>
      <c r="E654" s="4" t="inlineStr">
        <is>
          <t>a reformar</t>
        </is>
      </c>
      <c r="F654" s="22" t="n">
        <v>239000</v>
      </c>
      <c r="G654" s="23" t="n">
        <v>3064.1</v>
      </c>
      <c r="H654" s="22" t="n">
        <v>245269</v>
      </c>
      <c r="I654" s="23" t="n">
        <v>3144.47</v>
      </c>
      <c r="J654" s="18" t="n">
        <v>-0.0256</v>
      </c>
      <c r="K654" s="24" t="n">
        <v>56.4</v>
      </c>
      <c r="L654" s="4" t="n">
        <v>14</v>
      </c>
      <c r="M654" s="4" t="inlineStr">
        <is>
          <t>media</t>
        </is>
      </c>
      <c r="N654" s="4" t="inlineStr">
        <is>
          <t>en linea con comparables</t>
        </is>
      </c>
      <c r="O654" s="4" t="n"/>
    </row>
    <row r="655">
      <c r="A655" s="4" t="inlineStr">
        <is>
          <t>MD-0121</t>
        </is>
      </c>
      <c r="B655" s="21" t="n">
        <v>46014</v>
      </c>
      <c r="C655" s="4" t="inlineStr">
        <is>
          <t>Centro</t>
        </is>
      </c>
      <c r="D655" s="4" t="n">
        <v>58</v>
      </c>
      <c r="E655" s="4" t="inlineStr">
        <is>
          <t>reformado</t>
        </is>
      </c>
      <c r="F655" s="22" t="n">
        <v>408000</v>
      </c>
      <c r="G655" s="23" t="n">
        <v>7034.48</v>
      </c>
      <c r="H655" s="22" t="n">
        <v>442056</v>
      </c>
      <c r="I655" s="23" t="n">
        <v>7621.66</v>
      </c>
      <c r="J655" s="18" t="n">
        <v>-0.077</v>
      </c>
      <c r="K655" s="24" t="n">
        <v>69.3</v>
      </c>
      <c r="L655" s="4" t="n">
        <v>14</v>
      </c>
      <c r="M655" s="4" t="inlineStr">
        <is>
          <t>media</t>
        </is>
      </c>
      <c r="N655" s="4" t="inlineStr">
        <is>
          <t>en linea con comparables</t>
        </is>
      </c>
      <c r="O655" s="4" t="n"/>
    </row>
    <row r="656">
      <c r="A656" s="4" t="inlineStr">
        <is>
          <t>MD-1879</t>
        </is>
      </c>
      <c r="B656" s="21" t="n">
        <v>46014</v>
      </c>
      <c r="C656" s="4" t="inlineStr">
        <is>
          <t>Hortaleza</t>
        </is>
      </c>
      <c r="D656" s="4" t="n">
        <v>73</v>
      </c>
      <c r="E656" s="4" t="inlineStr">
        <is>
          <t>reformado</t>
        </is>
      </c>
      <c r="F656" s="22" t="n">
        <v>412000</v>
      </c>
      <c r="G656" s="23" t="n">
        <v>5643.84</v>
      </c>
      <c r="H656" s="22" t="n">
        <v>430102</v>
      </c>
      <c r="I656" s="23" t="n">
        <v>5891.8</v>
      </c>
      <c r="J656" s="18" t="n">
        <v>-0.0421</v>
      </c>
      <c r="K656" s="24" t="n">
        <v>60.5</v>
      </c>
      <c r="L656" s="4" t="n">
        <v>10</v>
      </c>
      <c r="M656" s="4" t="inlineStr">
        <is>
          <t>media</t>
        </is>
      </c>
      <c r="N656" s="4" t="inlineStr">
        <is>
          <t>en linea con comparables</t>
        </is>
      </c>
      <c r="O656" s="4" t="n"/>
    </row>
    <row r="657">
      <c r="A657" s="4" t="inlineStr">
        <is>
          <t>MD-0933</t>
        </is>
      </c>
      <c r="B657" s="21" t="n">
        <v>46015</v>
      </c>
      <c r="C657" s="4" t="inlineStr">
        <is>
          <t>Carabanchel</t>
        </is>
      </c>
      <c r="D657" s="4" t="n">
        <v>74</v>
      </c>
      <c r="E657" s="4" t="inlineStr">
        <is>
          <t>obra nueva</t>
        </is>
      </c>
      <c r="F657" s="22" t="n">
        <v>315000</v>
      </c>
      <c r="G657" s="23" t="n">
        <v>4256.76</v>
      </c>
      <c r="H657" s="22" t="n">
        <v>294999</v>
      </c>
      <c r="I657" s="23" t="n">
        <v>3986.47</v>
      </c>
      <c r="J657" s="18" t="n">
        <v>0.0678</v>
      </c>
      <c r="K657" s="24" t="n">
        <v>33</v>
      </c>
      <c r="L657" s="4" t="n">
        <v>14</v>
      </c>
      <c r="M657" s="4" t="inlineStr">
        <is>
          <t>media</t>
        </is>
      </c>
      <c r="N657" s="4" t="inlineStr">
        <is>
          <t>en linea con comparables</t>
        </is>
      </c>
      <c r="O657" s="4" t="n"/>
    </row>
    <row r="658">
      <c r="A658" s="4" t="inlineStr">
        <is>
          <t>MD-0088</t>
        </is>
      </c>
      <c r="B658" s="21" t="n">
        <v>46015</v>
      </c>
      <c r="C658" s="4" t="inlineStr">
        <is>
          <t>Salamanca</t>
        </is>
      </c>
      <c r="D658" s="4" t="n">
        <v>178</v>
      </c>
      <c r="E658" s="4" t="inlineStr">
        <is>
          <t>reformado</t>
        </is>
      </c>
      <c r="F658" s="22" t="n">
        <v>1817000</v>
      </c>
      <c r="G658" s="23" t="n">
        <v>10207.87</v>
      </c>
      <c r="H658" s="22" t="n">
        <v>1775831</v>
      </c>
      <c r="I658" s="23" t="n">
        <v>9976.58</v>
      </c>
      <c r="J658" s="18" t="n">
        <v>0.0232</v>
      </c>
      <c r="K658" s="24" t="n">
        <v>44.2</v>
      </c>
      <c r="L658" s="4" t="n">
        <v>9</v>
      </c>
      <c r="M658" s="4" t="inlineStr">
        <is>
          <t>media</t>
        </is>
      </c>
      <c r="N658" s="4" t="inlineStr">
        <is>
          <t>en linea con comparables</t>
        </is>
      </c>
      <c r="O658" s="4" t="n"/>
    </row>
    <row r="659">
      <c r="A659" s="4" t="inlineStr">
        <is>
          <t>MD-1143</t>
        </is>
      </c>
      <c r="B659" s="21" t="n">
        <v>46015</v>
      </c>
      <c r="C659" s="4" t="inlineStr">
        <is>
          <t>Retiro</t>
        </is>
      </c>
      <c r="D659" s="4" t="n">
        <v>49</v>
      </c>
      <c r="E659" s="4" t="inlineStr">
        <is>
          <t>a reformar</t>
        </is>
      </c>
      <c r="F659" s="22" t="n">
        <v>319000</v>
      </c>
      <c r="G659" s="23" t="n">
        <v>6510.2</v>
      </c>
      <c r="H659" s="22" t="n">
        <v>300080</v>
      </c>
      <c r="I659" s="23" t="n">
        <v>6124.08</v>
      </c>
      <c r="J659" s="18" t="n">
        <v>0.0631</v>
      </c>
      <c r="K659" s="24" t="n">
        <v>34.2</v>
      </c>
      <c r="L659" s="4" t="n">
        <v>5</v>
      </c>
      <c r="M659" s="4" t="inlineStr">
        <is>
          <t>baja</t>
        </is>
      </c>
      <c r="N659" s="4" t="inlineStr">
        <is>
          <t>en linea con comparables</t>
        </is>
      </c>
      <c r="O659" s="4" t="n"/>
    </row>
    <row r="660">
      <c r="A660" s="4" t="inlineStr">
        <is>
          <t>MD-0427</t>
        </is>
      </c>
      <c r="B660" s="21" t="n">
        <v>46015</v>
      </c>
      <c r="C660" s="4" t="inlineStr">
        <is>
          <t>Retiro</t>
        </is>
      </c>
      <c r="D660" s="4" t="n">
        <v>47</v>
      </c>
      <c r="E660" s="4" t="inlineStr">
        <is>
          <t>reformado</t>
        </is>
      </c>
      <c r="F660" s="22" t="n">
        <v>272000</v>
      </c>
      <c r="G660" s="23" t="n">
        <v>5787.23</v>
      </c>
      <c r="H660" s="22" t="n">
        <v>369844</v>
      </c>
      <c r="I660" s="23" t="n">
        <v>7869.03</v>
      </c>
      <c r="J660" s="18" t="n">
        <v>-0.2646</v>
      </c>
      <c r="K660" s="24" t="n">
        <v>100</v>
      </c>
      <c r="L660" s="4" t="n">
        <v>5</v>
      </c>
      <c r="M660" s="4" t="inlineStr">
        <is>
          <t>baja</t>
        </is>
      </c>
      <c r="N660" s="4" t="inlineStr">
        <is>
          <t>por debajo de comparables</t>
        </is>
      </c>
      <c r="O660" s="4" t="n"/>
    </row>
    <row r="661">
      <c r="A661" s="4" t="inlineStr">
        <is>
          <t>MD-0631</t>
        </is>
      </c>
      <c r="B661" s="21" t="n">
        <v>46015</v>
      </c>
      <c r="C661" s="4" t="inlineStr">
        <is>
          <t>Hortaleza</t>
        </is>
      </c>
      <c r="D661" s="4" t="n">
        <v>178</v>
      </c>
      <c r="E661" s="4" t="inlineStr">
        <is>
          <t>a reformar</t>
        </is>
      </c>
      <c r="F661" s="22" t="n">
        <v>949000</v>
      </c>
      <c r="G661" s="23" t="n">
        <v>5331.46</v>
      </c>
      <c r="H661" s="22" t="n">
        <v>846396</v>
      </c>
      <c r="I661" s="23" t="n">
        <v>4755.04</v>
      </c>
      <c r="J661" s="18" t="n">
        <v>0.1212</v>
      </c>
      <c r="K661" s="24" t="n">
        <v>19.7</v>
      </c>
      <c r="L661" s="4" t="n">
        <v>11</v>
      </c>
      <c r="M661" s="4" t="inlineStr">
        <is>
          <t>media</t>
        </is>
      </c>
      <c r="N661" s="4" t="inlineStr">
        <is>
          <t>por encima de comparables</t>
        </is>
      </c>
      <c r="O661" s="4" t="n"/>
    </row>
    <row r="662">
      <c r="A662" s="4" t="inlineStr">
        <is>
          <t>MD-1519</t>
        </is>
      </c>
      <c r="B662" s="21" t="n">
        <v>46015</v>
      </c>
      <c r="C662" s="4" t="inlineStr">
        <is>
          <t>Vicalvaro</t>
        </is>
      </c>
      <c r="D662" s="4" t="n">
        <v>83</v>
      </c>
      <c r="E662" s="4" t="inlineStr">
        <is>
          <t>buen estado</t>
        </is>
      </c>
      <c r="F662" s="22" t="n">
        <v>346000</v>
      </c>
      <c r="G662" s="23" t="n">
        <v>4168.67</v>
      </c>
      <c r="H662" s="22" t="n">
        <v>287193</v>
      </c>
      <c r="I662" s="23" t="n">
        <v>3460.16</v>
      </c>
      <c r="J662" s="18" t="n">
        <v>0.2048</v>
      </c>
      <c r="K662" s="24" t="n">
        <v>0</v>
      </c>
      <c r="L662" s="4" t="n">
        <v>10</v>
      </c>
      <c r="M662" s="4" t="inlineStr">
        <is>
          <t>media</t>
        </is>
      </c>
      <c r="N662" s="4" t="inlineStr">
        <is>
          <t>por encima de comparables</t>
        </is>
      </c>
      <c r="O662" s="4" t="n"/>
    </row>
    <row r="663">
      <c r="A663" s="4" t="inlineStr">
        <is>
          <t>MD-1702</t>
        </is>
      </c>
      <c r="B663" s="21" t="n">
        <v>46016</v>
      </c>
      <c r="C663" s="4" t="inlineStr">
        <is>
          <t>Chamberi</t>
        </is>
      </c>
      <c r="D663" s="4" t="n">
        <v>32</v>
      </c>
      <c r="E663" s="4" t="inlineStr">
        <is>
          <t>buen estado</t>
        </is>
      </c>
      <c r="F663" s="22" t="n">
        <v>256000</v>
      </c>
      <c r="G663" s="23" t="n">
        <v>8000</v>
      </c>
      <c r="H663" s="22" t="n"/>
      <c r="I663" s="23" t="n"/>
      <c r="J663" s="18" t="n"/>
      <c r="K663" s="24" t="n"/>
      <c r="L663" s="4" t="n">
        <v>0</v>
      </c>
      <c r="M663" s="4" t="inlineStr">
        <is>
          <t>sin muestra</t>
        </is>
      </c>
      <c r="N663" s="4" t="inlineStr">
        <is>
          <t>no valorable</t>
        </is>
      </c>
      <c r="O663" s="4" t="inlineStr">
        <is>
          <t>segmento con pocas operaciones comparables</t>
        </is>
      </c>
    </row>
    <row r="664">
      <c r="A664" s="4" t="inlineStr">
        <is>
          <t>MD-0744</t>
        </is>
      </c>
      <c r="B664" s="21" t="n">
        <v>46016</v>
      </c>
      <c r="C664" s="4" t="inlineStr">
        <is>
          <t>San Blas-Canillejas</t>
        </is>
      </c>
      <c r="D664" s="4" t="n">
        <v>82</v>
      </c>
      <c r="E664" s="4" t="inlineStr">
        <is>
          <t>a reformar</t>
        </is>
      </c>
      <c r="F664" s="22" t="n">
        <v>200000</v>
      </c>
      <c r="G664" s="23" t="n">
        <v>2439.02</v>
      </c>
      <c r="H664" s="22" t="n">
        <v>216517</v>
      </c>
      <c r="I664" s="23" t="n">
        <v>2640.45</v>
      </c>
      <c r="J664" s="18" t="n">
        <v>-0.07630000000000001</v>
      </c>
      <c r="K664" s="24" t="n">
        <v>69.09999999999999</v>
      </c>
      <c r="L664" s="4" t="n">
        <v>10</v>
      </c>
      <c r="M664" s="4" t="inlineStr">
        <is>
          <t>media</t>
        </is>
      </c>
      <c r="N664" s="4" t="inlineStr">
        <is>
          <t>en linea con comparables</t>
        </is>
      </c>
      <c r="O664" s="4" t="n"/>
    </row>
    <row r="665">
      <c r="A665" s="4" t="inlineStr">
        <is>
          <t>MD-0010</t>
        </is>
      </c>
      <c r="B665" s="21" t="n">
        <v>46016</v>
      </c>
      <c r="C665" s="4" t="inlineStr">
        <is>
          <t>Centro</t>
        </is>
      </c>
      <c r="D665" s="4" t="n">
        <v>59</v>
      </c>
      <c r="E665" s="4" t="inlineStr">
        <is>
          <t>a reformar</t>
        </is>
      </c>
      <c r="F665" s="22" t="n">
        <v>360000</v>
      </c>
      <c r="G665" s="23" t="n">
        <v>6101.69</v>
      </c>
      <c r="H665" s="22" t="n">
        <v>317885</v>
      </c>
      <c r="I665" s="23" t="n">
        <v>5387.88</v>
      </c>
      <c r="J665" s="18" t="n">
        <v>0.1325</v>
      </c>
      <c r="K665" s="24" t="n">
        <v>16.9</v>
      </c>
      <c r="L665" s="4" t="n">
        <v>14</v>
      </c>
      <c r="M665" s="4" t="inlineStr">
        <is>
          <t>media</t>
        </is>
      </c>
      <c r="N665" s="4" t="inlineStr">
        <is>
          <t>por encima de comparables</t>
        </is>
      </c>
      <c r="O665" s="4" t="n"/>
    </row>
    <row r="666">
      <c r="A666" s="4" t="inlineStr">
        <is>
          <t>MD-1847</t>
        </is>
      </c>
      <c r="B666" s="21" t="n">
        <v>46016</v>
      </c>
      <c r="C666" s="4" t="inlineStr">
        <is>
          <t>San Blas-Canillejas</t>
        </is>
      </c>
      <c r="D666" s="4" t="n">
        <v>95</v>
      </c>
      <c r="E666" s="4" t="inlineStr">
        <is>
          <t>buen estado</t>
        </is>
      </c>
      <c r="F666" s="22" t="n">
        <v>321000</v>
      </c>
      <c r="G666" s="23" t="n">
        <v>3378.95</v>
      </c>
      <c r="H666" s="22" t="n">
        <v>365587</v>
      </c>
      <c r="I666" s="23" t="n">
        <v>3848.28</v>
      </c>
      <c r="J666" s="18" t="n">
        <v>-0.122</v>
      </c>
      <c r="K666" s="24" t="n">
        <v>80.5</v>
      </c>
      <c r="L666" s="4" t="n">
        <v>10</v>
      </c>
      <c r="M666" s="4" t="inlineStr">
        <is>
          <t>media</t>
        </is>
      </c>
      <c r="N666" s="4" t="inlineStr">
        <is>
          <t>por debajo de comparables</t>
        </is>
      </c>
      <c r="O666" s="4" t="n"/>
    </row>
    <row r="667">
      <c r="A667" s="4" t="inlineStr">
        <is>
          <t>MD-0403</t>
        </is>
      </c>
      <c r="B667" s="21" t="n">
        <v>46016</v>
      </c>
      <c r="C667" s="4" t="inlineStr">
        <is>
          <t>Salamanca</t>
        </is>
      </c>
      <c r="D667" s="4" t="n">
        <v>70</v>
      </c>
      <c r="E667" s="4" t="inlineStr">
        <is>
          <t>obra nueva</t>
        </is>
      </c>
      <c r="F667" s="22" t="n">
        <v>546000</v>
      </c>
      <c r="G667" s="23" t="n">
        <v>7800</v>
      </c>
      <c r="H667" s="22" t="n">
        <v>547412</v>
      </c>
      <c r="I667" s="23" t="n">
        <v>7820.17</v>
      </c>
      <c r="J667" s="18" t="n">
        <v>-0.0026</v>
      </c>
      <c r="K667" s="24" t="n">
        <v>50.6</v>
      </c>
      <c r="L667" s="4" t="n">
        <v>12</v>
      </c>
      <c r="M667" s="4" t="inlineStr">
        <is>
          <t>media</t>
        </is>
      </c>
      <c r="N667" s="4" t="inlineStr">
        <is>
          <t>en linea con comparables</t>
        </is>
      </c>
      <c r="O667" s="4" t="n"/>
    </row>
    <row r="668">
      <c r="A668" s="4" t="inlineStr">
        <is>
          <t>MD-0351</t>
        </is>
      </c>
      <c r="B668" s="21" t="n">
        <v>46017</v>
      </c>
      <c r="C668" s="4" t="inlineStr">
        <is>
          <t>Puente de Vallecas</t>
        </is>
      </c>
      <c r="D668" s="4" t="n">
        <v>50</v>
      </c>
      <c r="E668" s="4" t="inlineStr">
        <is>
          <t>reformado</t>
        </is>
      </c>
      <c r="F668" s="22" t="n">
        <v>131000</v>
      </c>
      <c r="G668" s="23" t="n">
        <v>2620</v>
      </c>
      <c r="H668" s="22" t="n">
        <v>134361</v>
      </c>
      <c r="I668" s="23" t="n">
        <v>2687.22</v>
      </c>
      <c r="J668" s="18" t="n">
        <v>-0.025</v>
      </c>
      <c r="K668" s="24" t="n">
        <v>56.3</v>
      </c>
      <c r="L668" s="4" t="n">
        <v>23</v>
      </c>
      <c r="M668" s="4" t="inlineStr">
        <is>
          <t>alta</t>
        </is>
      </c>
      <c r="N668" s="4" t="inlineStr">
        <is>
          <t>en linea con comparables</t>
        </is>
      </c>
      <c r="O668" s="4" t="n"/>
    </row>
    <row r="669">
      <c r="A669" s="4" t="inlineStr">
        <is>
          <t>MD-0431</t>
        </is>
      </c>
      <c r="B669" s="21" t="n">
        <v>46017</v>
      </c>
      <c r="C669" s="4" t="inlineStr">
        <is>
          <t>Puente de Vallecas</t>
        </is>
      </c>
      <c r="D669" s="4" t="n">
        <v>32</v>
      </c>
      <c r="E669" s="4" t="inlineStr">
        <is>
          <t>buen estado</t>
        </is>
      </c>
      <c r="F669" s="22" t="n">
        <v>71000</v>
      </c>
      <c r="G669" s="23" t="n">
        <v>2218.75</v>
      </c>
      <c r="H669" s="22" t="n">
        <v>88330</v>
      </c>
      <c r="I669" s="23" t="n">
        <v>2760.33</v>
      </c>
      <c r="J669" s="18" t="n">
        <v>-0.1962</v>
      </c>
      <c r="K669" s="24" t="n">
        <v>99.09999999999999</v>
      </c>
      <c r="L669" s="4" t="n">
        <v>5</v>
      </c>
      <c r="M669" s="4" t="inlineStr">
        <is>
          <t>baja</t>
        </is>
      </c>
      <c r="N669" s="4" t="inlineStr">
        <is>
          <t>por debajo de comparables</t>
        </is>
      </c>
      <c r="O669" s="4" t="n"/>
    </row>
    <row r="670">
      <c r="A670" s="4" t="inlineStr">
        <is>
          <t>MD-0333</t>
        </is>
      </c>
      <c r="B670" s="21" t="n">
        <v>46017</v>
      </c>
      <c r="C670" s="4" t="inlineStr">
        <is>
          <t>Puente de Vallecas</t>
        </is>
      </c>
      <c r="D670" s="4" t="n">
        <v>124</v>
      </c>
      <c r="E670" s="4" t="inlineStr">
        <is>
          <t>reformado</t>
        </is>
      </c>
      <c r="F670" s="22" t="n">
        <v>393000</v>
      </c>
      <c r="G670" s="23" t="n">
        <v>3169.35</v>
      </c>
      <c r="H670" s="22" t="n"/>
      <c r="I670" s="23" t="n"/>
      <c r="J670" s="18" t="n"/>
      <c r="K670" s="24" t="n"/>
      <c r="L670" s="4" t="n">
        <v>4</v>
      </c>
      <c r="M670" s="4" t="inlineStr">
        <is>
          <t>sin muestra</t>
        </is>
      </c>
      <c r="N670" s="4" t="inlineStr">
        <is>
          <t>no valorable</t>
        </is>
      </c>
      <c r="O670" s="4" t="inlineStr">
        <is>
          <t>segmento con pocas operaciones comparables</t>
        </is>
      </c>
    </row>
    <row r="671">
      <c r="A671" s="4" t="inlineStr">
        <is>
          <t>MD-1072</t>
        </is>
      </c>
      <c r="B671" s="21" t="n">
        <v>46017</v>
      </c>
      <c r="C671" s="4" t="inlineStr">
        <is>
          <t>Latina</t>
        </is>
      </c>
      <c r="D671" s="4" t="n">
        <v>62</v>
      </c>
      <c r="E671" s="4" t="inlineStr">
        <is>
          <t>a reformar</t>
        </is>
      </c>
      <c r="F671" s="22" t="n">
        <v>204000</v>
      </c>
      <c r="G671" s="23" t="n">
        <v>3290.32</v>
      </c>
      <c r="H671" s="22" t="n">
        <v>169646</v>
      </c>
      <c r="I671" s="23" t="n">
        <v>2736.23</v>
      </c>
      <c r="J671" s="18" t="n">
        <v>0.2025</v>
      </c>
      <c r="K671" s="24" t="n">
        <v>0</v>
      </c>
      <c r="L671" s="4" t="n">
        <v>19</v>
      </c>
      <c r="M671" s="4" t="inlineStr">
        <is>
          <t>media</t>
        </is>
      </c>
      <c r="N671" s="4" t="inlineStr">
        <is>
          <t>por encima de comparables</t>
        </is>
      </c>
      <c r="O671" s="4" t="n"/>
    </row>
    <row r="672">
      <c r="A672" s="4" t="inlineStr">
        <is>
          <t>MD-0886</t>
        </is>
      </c>
      <c r="B672" s="21" t="n">
        <v>46017</v>
      </c>
      <c r="C672" s="4" t="inlineStr">
        <is>
          <t>Salamanca</t>
        </is>
      </c>
      <c r="D672" s="4" t="n">
        <v>72</v>
      </c>
      <c r="E672" s="4" t="inlineStr">
        <is>
          <t>a reformar</t>
        </is>
      </c>
      <c r="F672" s="22" t="n">
        <v>647000</v>
      </c>
      <c r="G672" s="23" t="n">
        <v>8986.110000000001</v>
      </c>
      <c r="H672" s="22" t="n">
        <v>493549</v>
      </c>
      <c r="I672" s="23" t="n">
        <v>6854.84</v>
      </c>
      <c r="J672" s="18" t="n">
        <v>0.3109</v>
      </c>
      <c r="K672" s="24" t="n">
        <v>0</v>
      </c>
      <c r="L672" s="4" t="n">
        <v>10</v>
      </c>
      <c r="M672" s="4" t="inlineStr">
        <is>
          <t>media</t>
        </is>
      </c>
      <c r="N672" s="4" t="inlineStr">
        <is>
          <t>por encima de comparables</t>
        </is>
      </c>
      <c r="O672" s="4" t="n"/>
    </row>
    <row r="673">
      <c r="A673" s="4" t="inlineStr">
        <is>
          <t>MD-1008</t>
        </is>
      </c>
      <c r="B673" s="21" t="n">
        <v>46017</v>
      </c>
      <c r="C673" s="4" t="inlineStr">
        <is>
          <t>Hortaleza</t>
        </is>
      </c>
      <c r="D673" s="4" t="n">
        <v>154</v>
      </c>
      <c r="E673" s="4" t="inlineStr">
        <is>
          <t>reformado</t>
        </is>
      </c>
      <c r="F673" s="22" t="n">
        <v>38000</v>
      </c>
      <c r="G673" s="23" t="n">
        <v>246.75</v>
      </c>
      <c r="H673" s="22" t="n">
        <v>926069</v>
      </c>
      <c r="I673" s="23" t="n">
        <v>6013.44</v>
      </c>
      <c r="J673" s="18" t="n">
        <v>-0.959</v>
      </c>
      <c r="K673" s="24" t="n">
        <v>100</v>
      </c>
      <c r="L673" s="4" t="n">
        <v>11</v>
      </c>
      <c r="M673" s="4" t="inlineStr">
        <is>
          <t>media</t>
        </is>
      </c>
      <c r="N673" s="4" t="inlineStr">
        <is>
          <t>por debajo de comparables</t>
        </is>
      </c>
      <c r="O673" s="4" t="n"/>
    </row>
    <row r="674">
      <c r="A674" s="4" t="inlineStr">
        <is>
          <t>MD-0517</t>
        </is>
      </c>
      <c r="B674" s="21" t="n">
        <v>46018</v>
      </c>
      <c r="C674" s="4" t="inlineStr">
        <is>
          <t>Puente de Vallecas</t>
        </is>
      </c>
      <c r="D674" s="4" t="n">
        <v>51</v>
      </c>
      <c r="E674" s="4" t="inlineStr">
        <is>
          <t>a reformar</t>
        </is>
      </c>
      <c r="F674" s="22" t="n">
        <v>136000</v>
      </c>
      <c r="G674" s="23" t="n">
        <v>2666.67</v>
      </c>
      <c r="H674" s="22" t="n">
        <v>124192</v>
      </c>
      <c r="I674" s="23" t="n">
        <v>2435.15</v>
      </c>
      <c r="J674" s="18" t="n">
        <v>0.0951</v>
      </c>
      <c r="K674" s="24" t="n">
        <v>26.2</v>
      </c>
      <c r="L674" s="4" t="n">
        <v>21</v>
      </c>
      <c r="M674" s="4" t="inlineStr">
        <is>
          <t>alta</t>
        </is>
      </c>
      <c r="N674" s="4" t="inlineStr">
        <is>
          <t>en linea con comparables</t>
        </is>
      </c>
      <c r="O674" s="4" t="n"/>
    </row>
    <row r="675">
      <c r="A675" s="4" t="inlineStr">
        <is>
          <t>MD-1066</t>
        </is>
      </c>
      <c r="B675" s="21" t="n">
        <v>46018</v>
      </c>
      <c r="C675" s="4" t="inlineStr">
        <is>
          <t>San Blas-Canillejas</t>
        </is>
      </c>
      <c r="D675" s="4" t="n">
        <v>116</v>
      </c>
      <c r="E675" s="4" t="inlineStr">
        <is>
          <t>buen estado</t>
        </is>
      </c>
      <c r="F675" s="22" t="n">
        <v>454000</v>
      </c>
      <c r="G675" s="23" t="n">
        <v>3913.79</v>
      </c>
      <c r="H675" s="22" t="n">
        <v>391958</v>
      </c>
      <c r="I675" s="23" t="n">
        <v>3378.95</v>
      </c>
      <c r="J675" s="18" t="n">
        <v>0.1583</v>
      </c>
      <c r="K675" s="24" t="n">
        <v>10.4</v>
      </c>
      <c r="L675" s="4" t="n">
        <v>7</v>
      </c>
      <c r="M675" s="4" t="inlineStr">
        <is>
          <t>baja</t>
        </is>
      </c>
      <c r="N675" s="4" t="inlineStr">
        <is>
          <t>por encima de comparables</t>
        </is>
      </c>
      <c r="O675" s="4" t="n"/>
    </row>
    <row r="676">
      <c r="A676" s="4" t="inlineStr">
        <is>
          <t>MD-1083</t>
        </is>
      </c>
      <c r="B676" s="21" t="n">
        <v>46018</v>
      </c>
      <c r="C676" s="4" t="inlineStr">
        <is>
          <t>Vicalvaro</t>
        </is>
      </c>
      <c r="D676" s="4" t="n">
        <v>187</v>
      </c>
      <c r="E676" s="4" t="inlineStr">
        <is>
          <t>buen estado</t>
        </is>
      </c>
      <c r="F676" s="22" t="n">
        <v>704000</v>
      </c>
      <c r="G676" s="23" t="n">
        <v>3764.71</v>
      </c>
      <c r="H676" s="22" t="n">
        <v>686024</v>
      </c>
      <c r="I676" s="23" t="n">
        <v>3668.57</v>
      </c>
      <c r="J676" s="18" t="n">
        <v>0.0262</v>
      </c>
      <c r="K676" s="24" t="n">
        <v>43.4</v>
      </c>
      <c r="L676" s="4" t="n">
        <v>7</v>
      </c>
      <c r="M676" s="4" t="inlineStr">
        <is>
          <t>baja</t>
        </is>
      </c>
      <c r="N676" s="4" t="inlineStr">
        <is>
          <t>en linea con comparables</t>
        </is>
      </c>
      <c r="O676" s="4" t="n"/>
    </row>
    <row r="677">
      <c r="A677" s="4" t="inlineStr">
        <is>
          <t>MD-1100</t>
        </is>
      </c>
      <c r="B677" s="21" t="n">
        <v>46018</v>
      </c>
      <c r="C677" s="4" t="inlineStr">
        <is>
          <t>Retiro</t>
        </is>
      </c>
      <c r="D677" s="4" t="n">
        <v>141</v>
      </c>
      <c r="E677" s="4" t="inlineStr">
        <is>
          <t>a reformar</t>
        </is>
      </c>
      <c r="F677" s="22" t="n">
        <v>1052000</v>
      </c>
      <c r="G677" s="23" t="n">
        <v>7460.99</v>
      </c>
      <c r="H677" s="22" t="n">
        <v>815253</v>
      </c>
      <c r="I677" s="23" t="n">
        <v>5781.94</v>
      </c>
      <c r="J677" s="18" t="n">
        <v>0.2904</v>
      </c>
      <c r="K677" s="24" t="n">
        <v>0</v>
      </c>
      <c r="L677" s="4" t="n">
        <v>8</v>
      </c>
      <c r="M677" s="4" t="inlineStr">
        <is>
          <t>media</t>
        </is>
      </c>
      <c r="N677" s="4" t="inlineStr">
        <is>
          <t>por encima de comparables</t>
        </is>
      </c>
      <c r="O677" s="4" t="n"/>
    </row>
    <row r="678">
      <c r="A678" s="4" t="inlineStr">
        <is>
          <t>MD-1470</t>
        </is>
      </c>
      <c r="B678" s="21" t="n">
        <v>46018</v>
      </c>
      <c r="C678" s="4" t="inlineStr">
        <is>
          <t>Moratalaz</t>
        </is>
      </c>
      <c r="D678" s="4" t="n">
        <v>67</v>
      </c>
      <c r="E678" s="4" t="inlineStr">
        <is>
          <t>a reformar</t>
        </is>
      </c>
      <c r="F678" s="22" t="n">
        <v>216000</v>
      </c>
      <c r="G678" s="23" t="n">
        <v>3223.88</v>
      </c>
      <c r="H678" s="22" t="n">
        <v>210372</v>
      </c>
      <c r="I678" s="23" t="n">
        <v>3139.89</v>
      </c>
      <c r="J678" s="18" t="n">
        <v>0.0268</v>
      </c>
      <c r="K678" s="24" t="n">
        <v>43.3</v>
      </c>
      <c r="L678" s="4" t="n">
        <v>5</v>
      </c>
      <c r="M678" s="4" t="inlineStr">
        <is>
          <t>baja</t>
        </is>
      </c>
      <c r="N678" s="4" t="inlineStr">
        <is>
          <t>en linea con comparables</t>
        </is>
      </c>
      <c r="O678" s="4" t="n"/>
    </row>
    <row r="679">
      <c r="A679" s="4" t="inlineStr">
        <is>
          <t>MD-0264</t>
        </is>
      </c>
      <c r="B679" s="21" t="n">
        <v>46019</v>
      </c>
      <c r="C679" s="4" t="inlineStr">
        <is>
          <t>Hortaleza</t>
        </is>
      </c>
      <c r="D679" s="4" t="n">
        <v>116</v>
      </c>
      <c r="E679" s="4" t="inlineStr">
        <is>
          <t>a reformar</t>
        </is>
      </c>
      <c r="F679" s="22" t="n">
        <v>585000</v>
      </c>
      <c r="G679" s="23" t="n">
        <v>5043.1</v>
      </c>
      <c r="H679" s="22" t="n">
        <v>523245</v>
      </c>
      <c r="I679" s="23" t="n">
        <v>4510.73</v>
      </c>
      <c r="J679" s="18" t="n">
        <v>0.118</v>
      </c>
      <c r="K679" s="24" t="n">
        <v>20.5</v>
      </c>
      <c r="L679" s="4" t="n">
        <v>10</v>
      </c>
      <c r="M679" s="4" t="inlineStr">
        <is>
          <t>media</t>
        </is>
      </c>
      <c r="N679" s="4" t="inlineStr">
        <is>
          <t>por encima de comparables</t>
        </is>
      </c>
      <c r="O679" s="4" t="n"/>
    </row>
    <row r="680">
      <c r="A680" s="4" t="inlineStr">
        <is>
          <t>MD-0024</t>
        </is>
      </c>
      <c r="B680" s="21" t="n">
        <v>46019</v>
      </c>
      <c r="C680" s="4" t="inlineStr">
        <is>
          <t>Hortaleza</t>
        </is>
      </c>
      <c r="D680" s="4" t="n">
        <v>108</v>
      </c>
      <c r="E680" s="4" t="inlineStr">
        <is>
          <t>buen estado</t>
        </is>
      </c>
      <c r="F680" s="22" t="n">
        <v>406000</v>
      </c>
      <c r="G680" s="23" t="n">
        <v>3759.26</v>
      </c>
      <c r="H680" s="22" t="n">
        <v>507289</v>
      </c>
      <c r="I680" s="23" t="n">
        <v>4697.12</v>
      </c>
      <c r="J680" s="18" t="n">
        <v>-0.1997</v>
      </c>
      <c r="K680" s="24" t="n">
        <v>99.90000000000001</v>
      </c>
      <c r="L680" s="4" t="n">
        <v>12</v>
      </c>
      <c r="M680" s="4" t="inlineStr">
        <is>
          <t>media</t>
        </is>
      </c>
      <c r="N680" s="4" t="inlineStr">
        <is>
          <t>por debajo de comparables</t>
        </is>
      </c>
      <c r="O680" s="4" t="n"/>
    </row>
    <row r="681">
      <c r="A681" s="4" t="inlineStr">
        <is>
          <t>MD-1934</t>
        </is>
      </c>
      <c r="B681" s="21" t="n">
        <v>46019</v>
      </c>
      <c r="C681" s="4" t="inlineStr">
        <is>
          <t>Moncloa-Aravaca</t>
        </is>
      </c>
      <c r="D681" s="4" t="n">
        <v>78</v>
      </c>
      <c r="E681" s="4" t="inlineStr">
        <is>
          <t>buen estado</t>
        </is>
      </c>
      <c r="F681" s="22" t="n">
        <v>497000</v>
      </c>
      <c r="G681" s="23" t="n">
        <v>6371.79</v>
      </c>
      <c r="H681" s="22" t="n"/>
      <c r="I681" s="23" t="n"/>
      <c r="J681" s="18" t="n"/>
      <c r="K681" s="24" t="n"/>
      <c r="L681" s="4" t="n">
        <v>4</v>
      </c>
      <c r="M681" s="4" t="inlineStr">
        <is>
          <t>sin muestra</t>
        </is>
      </c>
      <c r="N681" s="4" t="inlineStr">
        <is>
          <t>no valorable</t>
        </is>
      </c>
      <c r="O681" s="4" t="inlineStr">
        <is>
          <t>segmento con pocas operaciones comparables</t>
        </is>
      </c>
    </row>
    <row r="682">
      <c r="A682" s="4" t="inlineStr">
        <is>
          <t>MD-1804</t>
        </is>
      </c>
      <c r="B682" s="21" t="n">
        <v>46019</v>
      </c>
      <c r="C682" s="4" t="inlineStr">
        <is>
          <t>Puente de Vallecas</t>
        </is>
      </c>
      <c r="D682" s="4" t="n">
        <v>79</v>
      </c>
      <c r="E682" s="4" t="inlineStr">
        <is>
          <t>a reformar</t>
        </is>
      </c>
      <c r="F682" s="22" t="n">
        <v>201000</v>
      </c>
      <c r="G682" s="23" t="n">
        <v>2544.3</v>
      </c>
      <c r="H682" s="22" t="n">
        <v>196149</v>
      </c>
      <c r="I682" s="23" t="n">
        <v>2482.9</v>
      </c>
      <c r="J682" s="18" t="n">
        <v>0.0247</v>
      </c>
      <c r="K682" s="24" t="n">
        <v>43.8</v>
      </c>
      <c r="L682" s="4" t="n">
        <v>19</v>
      </c>
      <c r="M682" s="4" t="inlineStr">
        <is>
          <t>alta</t>
        </is>
      </c>
      <c r="N682" s="4" t="inlineStr">
        <is>
          <t>en linea con comparables</t>
        </is>
      </c>
      <c r="O682" s="4" t="n"/>
    </row>
    <row r="683">
      <c r="A683" s="4" t="inlineStr">
        <is>
          <t>MD-0587</t>
        </is>
      </c>
      <c r="B683" s="21" t="n">
        <v>46020</v>
      </c>
      <c r="C683" s="4" t="inlineStr">
        <is>
          <t>Salamanca</t>
        </is>
      </c>
      <c r="D683" s="4" t="n">
        <v>40</v>
      </c>
      <c r="E683" s="4" t="inlineStr">
        <is>
          <t>buen estado</t>
        </is>
      </c>
      <c r="F683" s="22" t="n">
        <v>297000</v>
      </c>
      <c r="G683" s="23" t="n">
        <v>7425</v>
      </c>
      <c r="H683" s="22" t="n">
        <v>339615</v>
      </c>
      <c r="I683" s="23" t="n">
        <v>8490.379999999999</v>
      </c>
      <c r="J683" s="18" t="n">
        <v>-0.1255</v>
      </c>
      <c r="K683" s="24" t="n">
        <v>81.40000000000001</v>
      </c>
      <c r="L683" s="4" t="n">
        <v>5</v>
      </c>
      <c r="M683" s="4" t="inlineStr">
        <is>
          <t>baja</t>
        </is>
      </c>
      <c r="N683" s="4" t="inlineStr">
        <is>
          <t>por debajo de comparables</t>
        </is>
      </c>
      <c r="O683" s="4" t="n"/>
    </row>
    <row r="684">
      <c r="A684" s="4" t="inlineStr">
        <is>
          <t>MD-1207</t>
        </is>
      </c>
      <c r="B684" s="21" t="n">
        <v>46020</v>
      </c>
      <c r="C684" s="4" t="inlineStr">
        <is>
          <t>Vicalvaro</t>
        </is>
      </c>
      <c r="D684" s="4" t="n">
        <v>65</v>
      </c>
      <c r="E684" s="4" t="inlineStr">
        <is>
          <t>reformado</t>
        </is>
      </c>
      <c r="F684" s="22" t="n">
        <v>311000</v>
      </c>
      <c r="G684" s="23" t="n">
        <v>4784.62</v>
      </c>
      <c r="H684" s="22" t="n">
        <v>205860</v>
      </c>
      <c r="I684" s="23" t="n">
        <v>3167.08</v>
      </c>
      <c r="J684" s="18" t="n">
        <v>0.5107</v>
      </c>
      <c r="K684" s="24" t="n">
        <v>0</v>
      </c>
      <c r="L684" s="4" t="n">
        <v>7</v>
      </c>
      <c r="M684" s="4" t="inlineStr">
        <is>
          <t>baja</t>
        </is>
      </c>
      <c r="N684" s="4" t="inlineStr">
        <is>
          <t>por encima de comparables</t>
        </is>
      </c>
      <c r="O684" s="4" t="n"/>
    </row>
    <row r="685">
      <c r="A685" s="4" t="inlineStr">
        <is>
          <t>MD-1644</t>
        </is>
      </c>
      <c r="B685" s="21" t="n">
        <v>46020</v>
      </c>
      <c r="C685" s="4" t="inlineStr">
        <is>
          <t>San Blas-Canillejas</t>
        </is>
      </c>
      <c r="D685" s="4" t="n">
        <v>51</v>
      </c>
      <c r="E685" s="4" t="inlineStr">
        <is>
          <t>reformado</t>
        </is>
      </c>
      <c r="F685" s="22" t="n">
        <v>205000</v>
      </c>
      <c r="G685" s="23" t="n">
        <v>4019.61</v>
      </c>
      <c r="H685" s="22" t="n">
        <v>196344</v>
      </c>
      <c r="I685" s="23" t="n">
        <v>3849.89</v>
      </c>
      <c r="J685" s="18" t="n">
        <v>0.0441</v>
      </c>
      <c r="K685" s="24" t="n">
        <v>39</v>
      </c>
      <c r="L685" s="4" t="n">
        <v>14</v>
      </c>
      <c r="M685" s="4" t="inlineStr">
        <is>
          <t>media</t>
        </is>
      </c>
      <c r="N685" s="4" t="inlineStr">
        <is>
          <t>en linea con comparables</t>
        </is>
      </c>
      <c r="O685" s="4" t="n"/>
    </row>
    <row r="686">
      <c r="A686" s="4" t="inlineStr">
        <is>
          <t>MD-1894</t>
        </is>
      </c>
      <c r="B686" s="21" t="n">
        <v>46021</v>
      </c>
      <c r="C686" s="4" t="inlineStr">
        <is>
          <t>Chamberi</t>
        </is>
      </c>
      <c r="D686" s="4" t="n">
        <v>138</v>
      </c>
      <c r="E686" s="4" t="inlineStr">
        <is>
          <t>buen estado</t>
        </is>
      </c>
      <c r="F686" s="22" t="n">
        <v>31000</v>
      </c>
      <c r="G686" s="23" t="n">
        <v>224.64</v>
      </c>
      <c r="H686" s="22" t="n"/>
      <c r="I686" s="23" t="n"/>
      <c r="J686" s="18" t="n"/>
      <c r="K686" s="24" t="n"/>
      <c r="L686" s="4" t="n">
        <v>4</v>
      </c>
      <c r="M686" s="4" t="inlineStr">
        <is>
          <t>sin muestra</t>
        </is>
      </c>
      <c r="N686" s="4" t="inlineStr">
        <is>
          <t>no valorable</t>
        </is>
      </c>
      <c r="O686" s="4" t="inlineStr">
        <is>
          <t>segmento con pocas operaciones comparables</t>
        </is>
      </c>
    </row>
    <row r="687">
      <c r="A687" s="4" t="inlineStr">
        <is>
          <t>MD-0884</t>
        </is>
      </c>
      <c r="B687" s="21" t="n">
        <v>46021</v>
      </c>
      <c r="C687" s="4" t="inlineStr">
        <is>
          <t>Moratalaz</t>
        </is>
      </c>
      <c r="D687" s="4" t="n">
        <v>53</v>
      </c>
      <c r="E687" s="4" t="inlineStr">
        <is>
          <t>buen estado</t>
        </is>
      </c>
      <c r="F687" s="22" t="n">
        <v>202000</v>
      </c>
      <c r="G687" s="23" t="n">
        <v>3811.32</v>
      </c>
      <c r="H687" s="22" t="n"/>
      <c r="I687" s="23" t="n"/>
      <c r="J687" s="18" t="n"/>
      <c r="K687" s="24" t="n"/>
      <c r="L687" s="4" t="n">
        <v>3</v>
      </c>
      <c r="M687" s="4" t="inlineStr">
        <is>
          <t>sin muestra</t>
        </is>
      </c>
      <c r="N687" s="4" t="inlineStr">
        <is>
          <t>no valorable</t>
        </is>
      </c>
      <c r="O687" s="4" t="inlineStr">
        <is>
          <t>segmento con pocas operaciones comparables</t>
        </is>
      </c>
    </row>
    <row r="688">
      <c r="A688" s="4" t="inlineStr">
        <is>
          <t>MD-0662</t>
        </is>
      </c>
      <c r="B688" s="21" t="n">
        <v>46021</v>
      </c>
      <c r="C688" s="4" t="inlineStr">
        <is>
          <t>Hortaleza</t>
        </is>
      </c>
      <c r="D688" s="4" t="n">
        <v>81</v>
      </c>
      <c r="E688" s="4" t="inlineStr">
        <is>
          <t>reformado</t>
        </is>
      </c>
      <c r="F688" s="22" t="n">
        <v>388000</v>
      </c>
      <c r="G688" s="23" t="n">
        <v>4790.12</v>
      </c>
      <c r="H688" s="22" t="n">
        <v>410410</v>
      </c>
      <c r="I688" s="23" t="n">
        <v>5066.79</v>
      </c>
      <c r="J688" s="18" t="n">
        <v>-0.0546</v>
      </c>
      <c r="K688" s="24" t="n">
        <v>63.7</v>
      </c>
      <c r="L688" s="4" t="n">
        <v>10</v>
      </c>
      <c r="M688" s="4" t="inlineStr">
        <is>
          <t>media</t>
        </is>
      </c>
      <c r="N688" s="4" t="inlineStr">
        <is>
          <t>en linea con comparables</t>
        </is>
      </c>
      <c r="O688" s="4" t="n"/>
    </row>
    <row r="689">
      <c r="A689" s="4" t="inlineStr">
        <is>
          <t>MD-1883</t>
        </is>
      </c>
      <c r="B689" s="21" t="n">
        <v>46022</v>
      </c>
      <c r="C689" s="4" t="inlineStr">
        <is>
          <t>San Blas-Canillejas</t>
        </is>
      </c>
      <c r="D689" s="4" t="n">
        <v>44</v>
      </c>
      <c r="E689" s="4" t="inlineStr">
        <is>
          <t>reformado</t>
        </is>
      </c>
      <c r="F689" s="22" t="n">
        <v>203000</v>
      </c>
      <c r="G689" s="23" t="n">
        <v>4613.64</v>
      </c>
      <c r="H689" s="22" t="n">
        <v>171827</v>
      </c>
      <c r="I689" s="23" t="n">
        <v>3905.15</v>
      </c>
      <c r="J689" s="18" t="n">
        <v>0.1814</v>
      </c>
      <c r="K689" s="24" t="n">
        <v>4.6</v>
      </c>
      <c r="L689" s="4" t="n">
        <v>10</v>
      </c>
      <c r="M689" s="4" t="inlineStr">
        <is>
          <t>media</t>
        </is>
      </c>
      <c r="N689" s="4" t="inlineStr">
        <is>
          <t>por encima de comparables</t>
        </is>
      </c>
      <c r="O689" s="4" t="n"/>
    </row>
    <row r="690">
      <c r="A690" s="4" t="inlineStr">
        <is>
          <t>MD-1615</t>
        </is>
      </c>
      <c r="B690" s="21" t="n">
        <v>46022</v>
      </c>
      <c r="C690" s="4" t="inlineStr">
        <is>
          <t>Hortaleza</t>
        </is>
      </c>
      <c r="D690" s="4" t="n">
        <v>134</v>
      </c>
      <c r="E690" s="4" t="inlineStr">
        <is>
          <t>buen estado</t>
        </is>
      </c>
      <c r="F690" s="22" t="n">
        <v>811000</v>
      </c>
      <c r="G690" s="23" t="n">
        <v>6052.24</v>
      </c>
      <c r="H690" s="22" t="n">
        <v>569262</v>
      </c>
      <c r="I690" s="23" t="n">
        <v>4248.23</v>
      </c>
      <c r="J690" s="18" t="n">
        <v>0.4247</v>
      </c>
      <c r="K690" s="24" t="n">
        <v>0</v>
      </c>
      <c r="L690" s="4" t="n">
        <v>12</v>
      </c>
      <c r="M690" s="4" t="inlineStr">
        <is>
          <t>media</t>
        </is>
      </c>
      <c r="N690" s="4" t="inlineStr">
        <is>
          <t>por encima de comparables</t>
        </is>
      </c>
      <c r="O690" s="4" t="n"/>
    </row>
    <row r="691">
      <c r="A691" s="4" t="inlineStr">
        <is>
          <t>MD-1740</t>
        </is>
      </c>
      <c r="B691" s="21" t="n">
        <v>46022</v>
      </c>
      <c r="C691" s="4" t="inlineStr">
        <is>
          <t>Centro</t>
        </is>
      </c>
      <c r="D691" s="4" t="n">
        <v>73</v>
      </c>
      <c r="E691" s="4" t="inlineStr">
        <is>
          <t>reformado</t>
        </is>
      </c>
      <c r="F691" s="22" t="n">
        <v>640000</v>
      </c>
      <c r="G691" s="23" t="n">
        <v>8767.120000000001</v>
      </c>
      <c r="H691" s="22" t="n">
        <v>623210</v>
      </c>
      <c r="I691" s="23" t="n">
        <v>8537.120000000001</v>
      </c>
      <c r="J691" s="18" t="n">
        <v>0.0269</v>
      </c>
      <c r="K691" s="24" t="n">
        <v>43.3</v>
      </c>
      <c r="L691" s="4" t="n">
        <v>15</v>
      </c>
      <c r="M691" s="4" t="inlineStr">
        <is>
          <t>alta</t>
        </is>
      </c>
      <c r="N691" s="4" t="inlineStr">
        <is>
          <t>en linea con comparables</t>
        </is>
      </c>
      <c r="O691" s="4" t="n"/>
    </row>
    <row r="692">
      <c r="A692" s="4" t="inlineStr">
        <is>
          <t>MD-1377</t>
        </is>
      </c>
      <c r="B692" s="21" t="n">
        <v>46022</v>
      </c>
      <c r="C692" s="4" t="inlineStr">
        <is>
          <t>Carabanchel</t>
        </is>
      </c>
      <c r="D692" s="4" t="n">
        <v>43</v>
      </c>
      <c r="E692" s="4" t="inlineStr">
        <is>
          <t>reformado</t>
        </is>
      </c>
      <c r="F692" s="22" t="n">
        <v>115000</v>
      </c>
      <c r="G692" s="23" t="n">
        <v>2674.42</v>
      </c>
      <c r="H692" s="22" t="n">
        <v>136043</v>
      </c>
      <c r="I692" s="23" t="n">
        <v>3163.78</v>
      </c>
      <c r="J692" s="18" t="n">
        <v>-0.1547</v>
      </c>
      <c r="K692" s="24" t="n">
        <v>88.7</v>
      </c>
      <c r="L692" s="4" t="n">
        <v>10</v>
      </c>
      <c r="M692" s="4" t="inlineStr">
        <is>
          <t>media</t>
        </is>
      </c>
      <c r="N692" s="4" t="inlineStr">
        <is>
          <t>por debajo de comparables</t>
        </is>
      </c>
      <c r="O692" s="4" t="n"/>
    </row>
    <row r="693">
      <c r="A693" s="4" t="inlineStr">
        <is>
          <t>MD-0836</t>
        </is>
      </c>
      <c r="B693" s="21" t="n">
        <v>46023</v>
      </c>
      <c r="C693" s="4" t="inlineStr">
        <is>
          <t>Centro</t>
        </is>
      </c>
      <c r="D693" s="4" t="n">
        <v>40</v>
      </c>
      <c r="E693" s="4" t="inlineStr">
        <is>
          <t>obra nueva</t>
        </is>
      </c>
      <c r="F693" s="22" t="n">
        <v>369000</v>
      </c>
      <c r="G693" s="23" t="n">
        <v>9225</v>
      </c>
      <c r="H693" s="22" t="n">
        <v>330125</v>
      </c>
      <c r="I693" s="23" t="n">
        <v>8253.120000000001</v>
      </c>
      <c r="J693" s="18" t="n">
        <v>0.1178</v>
      </c>
      <c r="K693" s="24" t="n">
        <v>20.6</v>
      </c>
      <c r="L693" s="4" t="n">
        <v>9</v>
      </c>
      <c r="M693" s="4" t="inlineStr">
        <is>
          <t>media</t>
        </is>
      </c>
      <c r="N693" s="4" t="inlineStr">
        <is>
          <t>por encima de comparables</t>
        </is>
      </c>
      <c r="O693" s="4" t="n"/>
    </row>
    <row r="694">
      <c r="A694" s="4" t="inlineStr">
        <is>
          <t>MD-0927</t>
        </is>
      </c>
      <c r="B694" s="21" t="n">
        <v>46023</v>
      </c>
      <c r="C694" s="4" t="inlineStr">
        <is>
          <t>Moncloa-Aravaca</t>
        </is>
      </c>
      <c r="D694" s="4" t="n">
        <v>99</v>
      </c>
      <c r="E694" s="4" t="inlineStr">
        <is>
          <t>buen estado</t>
        </is>
      </c>
      <c r="F694" s="22" t="n">
        <v>580000</v>
      </c>
      <c r="G694" s="23" t="n">
        <v>5858.59</v>
      </c>
      <c r="H694" s="22" t="n"/>
      <c r="I694" s="23" t="n"/>
      <c r="J694" s="18" t="n"/>
      <c r="K694" s="24" t="n"/>
      <c r="L694" s="4" t="n">
        <v>2</v>
      </c>
      <c r="M694" s="4" t="inlineStr">
        <is>
          <t>sin muestra</t>
        </is>
      </c>
      <c r="N694" s="4" t="inlineStr">
        <is>
          <t>no valorable</t>
        </is>
      </c>
      <c r="O694" s="4" t="inlineStr">
        <is>
          <t>segmento con pocas operaciones comparables</t>
        </is>
      </c>
    </row>
    <row r="695">
      <c r="A695" s="4" t="inlineStr">
        <is>
          <t>MD-0190</t>
        </is>
      </c>
      <c r="B695" s="21" t="n">
        <v>46023</v>
      </c>
      <c r="C695" s="4" t="inlineStr">
        <is>
          <t>Hortaleza</t>
        </is>
      </c>
      <c r="D695" s="4" t="n">
        <v>90</v>
      </c>
      <c r="E695" s="4" t="inlineStr">
        <is>
          <t>a reformar</t>
        </is>
      </c>
      <c r="F695" s="22" t="n">
        <v>295000</v>
      </c>
      <c r="G695" s="23" t="n">
        <v>3277.78</v>
      </c>
      <c r="H695" s="22" t="n">
        <v>407575</v>
      </c>
      <c r="I695" s="23" t="n">
        <v>4528.61</v>
      </c>
      <c r="J695" s="18" t="n">
        <v>-0.2762</v>
      </c>
      <c r="K695" s="24" t="n">
        <v>100</v>
      </c>
      <c r="L695" s="4" t="n">
        <v>14</v>
      </c>
      <c r="M695" s="4" t="inlineStr">
        <is>
          <t>media</t>
        </is>
      </c>
      <c r="N695" s="4" t="inlineStr">
        <is>
          <t>por debajo de comparables</t>
        </is>
      </c>
      <c r="O695" s="4" t="n"/>
    </row>
    <row r="696">
      <c r="A696" s="4" t="inlineStr">
        <is>
          <t>MD-1570</t>
        </is>
      </c>
      <c r="B696" s="21" t="n">
        <v>46023</v>
      </c>
      <c r="C696" s="4" t="inlineStr">
        <is>
          <t>Hortaleza</t>
        </is>
      </c>
      <c r="D696" s="4" t="n">
        <v>178</v>
      </c>
      <c r="E696" s="4" t="inlineStr">
        <is>
          <t>a reformar</t>
        </is>
      </c>
      <c r="F696" s="22" t="n">
        <v>967000</v>
      </c>
      <c r="G696" s="23" t="n">
        <v>5432.58</v>
      </c>
      <c r="H696" s="22" t="n">
        <v>844730</v>
      </c>
      <c r="I696" s="23" t="n">
        <v>4745.67</v>
      </c>
      <c r="J696" s="18" t="n">
        <v>0.1447</v>
      </c>
      <c r="K696" s="24" t="n">
        <v>13.8</v>
      </c>
      <c r="L696" s="4" t="n">
        <v>13</v>
      </c>
      <c r="M696" s="4" t="inlineStr">
        <is>
          <t>media</t>
        </is>
      </c>
      <c r="N696" s="4" t="inlineStr">
        <is>
          <t>por encima de comparables</t>
        </is>
      </c>
      <c r="O696" s="4" t="n"/>
    </row>
    <row r="697">
      <c r="A697" s="4" t="inlineStr">
        <is>
          <t>MD-0465</t>
        </is>
      </c>
      <c r="B697" s="21" t="n">
        <v>46023</v>
      </c>
      <c r="C697" s="4" t="inlineStr">
        <is>
          <t>Moncloa-Aravaca</t>
        </is>
      </c>
      <c r="D697" s="4" t="n">
        <v>179</v>
      </c>
      <c r="E697" s="4" t="inlineStr">
        <is>
          <t>a reformar</t>
        </is>
      </c>
      <c r="F697" s="22" t="n">
        <v>724000</v>
      </c>
      <c r="G697" s="23" t="n">
        <v>4044.69</v>
      </c>
      <c r="H697" s="22" t="n"/>
      <c r="I697" s="23" t="n"/>
      <c r="J697" s="18" t="n"/>
      <c r="K697" s="24" t="n"/>
      <c r="L697" s="4" t="n">
        <v>3</v>
      </c>
      <c r="M697" s="4" t="inlineStr">
        <is>
          <t>sin muestra</t>
        </is>
      </c>
      <c r="N697" s="4" t="inlineStr">
        <is>
          <t>no valorable</t>
        </is>
      </c>
      <c r="O697" s="4" t="inlineStr">
        <is>
          <t>segmento con pocas operaciones comparables</t>
        </is>
      </c>
    </row>
    <row r="698">
      <c r="A698" s="4" t="inlineStr">
        <is>
          <t>MD-0404</t>
        </is>
      </c>
      <c r="B698" s="21" t="n">
        <v>46023</v>
      </c>
      <c r="C698" s="4" t="inlineStr">
        <is>
          <t>Vicalvaro</t>
        </is>
      </c>
      <c r="D698" s="4" t="n">
        <v>63</v>
      </c>
      <c r="E698" s="4" t="inlineStr">
        <is>
          <t>buen estado</t>
        </is>
      </c>
      <c r="F698" s="22" t="n">
        <v>217000</v>
      </c>
      <c r="G698" s="23" t="n">
        <v>3444.44</v>
      </c>
      <c r="H698" s="22" t="n">
        <v>259553</v>
      </c>
      <c r="I698" s="23" t="n">
        <v>4119.89</v>
      </c>
      <c r="J698" s="18" t="n">
        <v>-0.1639</v>
      </c>
      <c r="K698" s="24" t="n">
        <v>91</v>
      </c>
      <c r="L698" s="4" t="n">
        <v>7</v>
      </c>
      <c r="M698" s="4" t="inlineStr">
        <is>
          <t>baja</t>
        </is>
      </c>
      <c r="N698" s="4" t="inlineStr">
        <is>
          <t>por debajo de comparables</t>
        </is>
      </c>
      <c r="O698" s="4" t="n"/>
    </row>
    <row r="699">
      <c r="A699" s="4" t="inlineStr">
        <is>
          <t>MD-1647</t>
        </is>
      </c>
      <c r="B699" s="21" t="n">
        <v>46023</v>
      </c>
      <c r="C699" s="4" t="inlineStr">
        <is>
          <t>Moratalaz</t>
        </is>
      </c>
      <c r="D699" s="4" t="n">
        <v>63</v>
      </c>
      <c r="E699" s="4" t="inlineStr">
        <is>
          <t>buen estado</t>
        </is>
      </c>
      <c r="F699" s="22" t="n">
        <v>161000</v>
      </c>
      <c r="G699" s="23" t="n">
        <v>2555.56</v>
      </c>
      <c r="H699" s="22" t="n">
        <v>254056</v>
      </c>
      <c r="I699" s="23" t="n">
        <v>4032.64</v>
      </c>
      <c r="J699" s="18" t="n">
        <v>-0.3663</v>
      </c>
      <c r="K699" s="24" t="n">
        <v>100</v>
      </c>
      <c r="L699" s="4" t="n">
        <v>8</v>
      </c>
      <c r="M699" s="4" t="inlineStr">
        <is>
          <t>media</t>
        </is>
      </c>
      <c r="N699" s="4" t="inlineStr">
        <is>
          <t>por debajo de comparables</t>
        </is>
      </c>
      <c r="O699" s="4" t="n"/>
    </row>
    <row r="700">
      <c r="A700" s="4" t="inlineStr">
        <is>
          <t>MD-0406</t>
        </is>
      </c>
      <c r="B700" s="21" t="n">
        <v>46023</v>
      </c>
      <c r="C700" s="4" t="inlineStr">
        <is>
          <t>Centro</t>
        </is>
      </c>
      <c r="D700" s="4" t="n">
        <v>28</v>
      </c>
      <c r="E700" s="4" t="inlineStr">
        <is>
          <t>buen estado</t>
        </is>
      </c>
      <c r="F700" s="22" t="n">
        <v>223000</v>
      </c>
      <c r="G700" s="23" t="n">
        <v>7964.29</v>
      </c>
      <c r="H700" s="22" t="n">
        <v>256335</v>
      </c>
      <c r="I700" s="23" t="n">
        <v>9154.82</v>
      </c>
      <c r="J700" s="18" t="n">
        <v>-0.13</v>
      </c>
      <c r="K700" s="24" t="n">
        <v>82.5</v>
      </c>
      <c r="L700" s="4" t="n">
        <v>7</v>
      </c>
      <c r="M700" s="4" t="inlineStr">
        <is>
          <t>baja</t>
        </is>
      </c>
      <c r="N700" s="4" t="inlineStr">
        <is>
          <t>por debajo de comparables</t>
        </is>
      </c>
      <c r="O700" s="4" t="n"/>
    </row>
    <row r="701">
      <c r="A701" s="4" t="inlineStr">
        <is>
          <t>MD-0853</t>
        </is>
      </c>
      <c r="B701" s="21" t="n">
        <v>46023</v>
      </c>
      <c r="C701" s="4" t="inlineStr">
        <is>
          <t>Hortaleza</t>
        </is>
      </c>
      <c r="D701" s="4" t="n">
        <v>135</v>
      </c>
      <c r="E701" s="4" t="inlineStr">
        <is>
          <t>reformado</t>
        </is>
      </c>
      <c r="F701" s="22" t="n">
        <v>702000</v>
      </c>
      <c r="G701" s="23" t="n">
        <v>5200</v>
      </c>
      <c r="H701" s="22" t="n">
        <v>743003</v>
      </c>
      <c r="I701" s="23" t="n">
        <v>5503.73</v>
      </c>
      <c r="J701" s="18" t="n">
        <v>-0.0552</v>
      </c>
      <c r="K701" s="24" t="n">
        <v>63.8</v>
      </c>
      <c r="L701" s="4" t="n">
        <v>13</v>
      </c>
      <c r="M701" s="4" t="inlineStr">
        <is>
          <t>media</t>
        </is>
      </c>
      <c r="N701" s="4" t="inlineStr">
        <is>
          <t>en linea con comparables</t>
        </is>
      </c>
      <c r="O701" s="4" t="n"/>
    </row>
    <row r="702">
      <c r="A702" s="4" t="inlineStr">
        <is>
          <t>MD-1184</t>
        </is>
      </c>
      <c r="B702" s="21" t="n">
        <v>46023</v>
      </c>
      <c r="C702" s="4" t="inlineStr">
        <is>
          <t>San Blas-Canillejas</t>
        </is>
      </c>
      <c r="D702" s="4" t="n">
        <v>110</v>
      </c>
      <c r="E702" s="4" t="inlineStr">
        <is>
          <t>buen estado</t>
        </is>
      </c>
      <c r="F702" s="22" t="n">
        <v>454000</v>
      </c>
      <c r="G702" s="23" t="n">
        <v>4127.27</v>
      </c>
      <c r="H702" s="22" t="n">
        <v>390329</v>
      </c>
      <c r="I702" s="23" t="n">
        <v>3548.44</v>
      </c>
      <c r="J702" s="18" t="n">
        <v>0.1631</v>
      </c>
      <c r="K702" s="24" t="n">
        <v>9.199999999999999</v>
      </c>
      <c r="L702" s="4" t="n">
        <v>7</v>
      </c>
      <c r="M702" s="4" t="inlineStr">
        <is>
          <t>baja</t>
        </is>
      </c>
      <c r="N702" s="4" t="inlineStr">
        <is>
          <t>por encima de comparables</t>
        </is>
      </c>
      <c r="O702" s="4" t="n"/>
    </row>
    <row r="703">
      <c r="A703" s="4" t="inlineStr">
        <is>
          <t>MD-1136</t>
        </is>
      </c>
      <c r="B703" s="21" t="n">
        <v>46024</v>
      </c>
      <c r="C703" s="4" t="inlineStr">
        <is>
          <t>Retiro</t>
        </is>
      </c>
      <c r="D703" s="4" t="n">
        <v>135</v>
      </c>
      <c r="E703" s="4" t="inlineStr">
        <is>
          <t>buen estado</t>
        </is>
      </c>
      <c r="F703" s="22" t="n">
        <v>1167000</v>
      </c>
      <c r="G703" s="23" t="n">
        <v>8644.440000000001</v>
      </c>
      <c r="H703" s="22" t="n">
        <v>1022615</v>
      </c>
      <c r="I703" s="23" t="n">
        <v>7574.92</v>
      </c>
      <c r="J703" s="18" t="n">
        <v>0.1412</v>
      </c>
      <c r="K703" s="24" t="n">
        <v>14.7</v>
      </c>
      <c r="L703" s="4" t="n">
        <v>8</v>
      </c>
      <c r="M703" s="4" t="inlineStr">
        <is>
          <t>media</t>
        </is>
      </c>
      <c r="N703" s="4" t="inlineStr">
        <is>
          <t>por encima de comparables</t>
        </is>
      </c>
      <c r="O703" s="4" t="n"/>
    </row>
    <row r="704">
      <c r="A704" s="4" t="inlineStr">
        <is>
          <t>MD-1233</t>
        </is>
      </c>
      <c r="B704" s="21" t="n">
        <v>46024</v>
      </c>
      <c r="C704" s="4" t="inlineStr">
        <is>
          <t>Hortaleza</t>
        </is>
      </c>
      <c r="D704" s="4" t="n">
        <v>91</v>
      </c>
      <c r="E704" s="4" t="inlineStr">
        <is>
          <t>reformado</t>
        </is>
      </c>
      <c r="F704" s="22" t="n">
        <v>551000</v>
      </c>
      <c r="G704" s="23" t="n">
        <v>6054.95</v>
      </c>
      <c r="H704" s="22" t="n">
        <v>513063</v>
      </c>
      <c r="I704" s="23" t="n">
        <v>5638.06</v>
      </c>
      <c r="J704" s="18" t="n">
        <v>0.07389999999999999</v>
      </c>
      <c r="K704" s="24" t="n">
        <v>31.5</v>
      </c>
      <c r="L704" s="4" t="n">
        <v>15</v>
      </c>
      <c r="M704" s="4" t="inlineStr">
        <is>
          <t>alta</t>
        </is>
      </c>
      <c r="N704" s="4" t="inlineStr">
        <is>
          <t>en linea con comparables</t>
        </is>
      </c>
      <c r="O704" s="4" t="n"/>
    </row>
    <row r="705">
      <c r="A705" s="4" t="inlineStr">
        <is>
          <t>MD-1594</t>
        </is>
      </c>
      <c r="B705" s="21" t="n">
        <v>46024</v>
      </c>
      <c r="C705" s="4" t="inlineStr">
        <is>
          <t>Carabanchel</t>
        </is>
      </c>
      <c r="D705" s="4" t="n">
        <v>75</v>
      </c>
      <c r="E705" s="4" t="inlineStr">
        <is>
          <t>buen estado</t>
        </is>
      </c>
      <c r="F705" s="22" t="n">
        <v>275000</v>
      </c>
      <c r="G705" s="23" t="n">
        <v>3666.67</v>
      </c>
      <c r="H705" s="22" t="n">
        <v>269674</v>
      </c>
      <c r="I705" s="23" t="n">
        <v>3595.65</v>
      </c>
      <c r="J705" s="18" t="n">
        <v>0.0198</v>
      </c>
      <c r="K705" s="24" t="n">
        <v>45.1</v>
      </c>
      <c r="L705" s="4" t="n">
        <v>15</v>
      </c>
      <c r="M705" s="4" t="inlineStr">
        <is>
          <t>alta</t>
        </is>
      </c>
      <c r="N705" s="4" t="inlineStr">
        <is>
          <t>en linea con comparables</t>
        </is>
      </c>
      <c r="O705" s="4" t="n"/>
    </row>
    <row r="706">
      <c r="A706" s="4" t="inlineStr">
        <is>
          <t>MD-0114</t>
        </is>
      </c>
      <c r="B706" s="21" t="n">
        <v>46024</v>
      </c>
      <c r="C706" s="4" t="inlineStr">
        <is>
          <t>Salamanca</t>
        </is>
      </c>
      <c r="D706" s="4" t="n">
        <v>94</v>
      </c>
      <c r="E706" s="4" t="inlineStr">
        <is>
          <t>reformado</t>
        </is>
      </c>
      <c r="F706" s="22" t="n">
        <v>1103000</v>
      </c>
      <c r="G706" s="23" t="n">
        <v>11734.04</v>
      </c>
      <c r="H706" s="22" t="n">
        <v>843973</v>
      </c>
      <c r="I706" s="23" t="n">
        <v>8978.440000000001</v>
      </c>
      <c r="J706" s="18" t="n">
        <v>0.3069</v>
      </c>
      <c r="K706" s="24" t="n">
        <v>0</v>
      </c>
      <c r="L706" s="4" t="n">
        <v>5</v>
      </c>
      <c r="M706" s="4" t="inlineStr">
        <is>
          <t>baja</t>
        </is>
      </c>
      <c r="N706" s="4" t="inlineStr">
        <is>
          <t>por encima de comparables</t>
        </is>
      </c>
      <c r="O706" s="4" t="n"/>
    </row>
    <row r="707">
      <c r="A707" s="4" t="inlineStr">
        <is>
          <t>MD-1156</t>
        </is>
      </c>
      <c r="B707" s="21" t="n">
        <v>46024</v>
      </c>
      <c r="C707" s="4" t="inlineStr">
        <is>
          <t>Hortaleza</t>
        </is>
      </c>
      <c r="D707" s="4" t="n">
        <v>182</v>
      </c>
      <c r="E707" s="4" t="inlineStr">
        <is>
          <t>a reformar</t>
        </is>
      </c>
      <c r="F707" s="22" t="n">
        <v>631000</v>
      </c>
      <c r="G707" s="23" t="n">
        <v>3467.03</v>
      </c>
      <c r="H707" s="22" t="n">
        <v>879520</v>
      </c>
      <c r="I707" s="23" t="n">
        <v>4832.53</v>
      </c>
      <c r="J707" s="18" t="n">
        <v>-0.2826</v>
      </c>
      <c r="K707" s="24" t="n">
        <v>100</v>
      </c>
      <c r="L707" s="4" t="n">
        <v>12</v>
      </c>
      <c r="M707" s="4" t="inlineStr">
        <is>
          <t>media</t>
        </is>
      </c>
      <c r="N707" s="4" t="inlineStr">
        <is>
          <t>por debajo de comparables</t>
        </is>
      </c>
      <c r="O707" s="4" t="n"/>
    </row>
    <row r="708">
      <c r="A708" s="4" t="inlineStr">
        <is>
          <t>MD-0231</t>
        </is>
      </c>
      <c r="B708" s="21" t="n">
        <v>46024</v>
      </c>
      <c r="C708" s="4" t="inlineStr">
        <is>
          <t>Carabanchel</t>
        </is>
      </c>
      <c r="D708" s="4" t="n">
        <v>43</v>
      </c>
      <c r="E708" s="4" t="inlineStr">
        <is>
          <t>obra nueva</t>
        </is>
      </c>
      <c r="F708" s="22" t="n">
        <v>137000</v>
      </c>
      <c r="G708" s="23" t="n">
        <v>3186.05</v>
      </c>
      <c r="H708" s="22" t="n">
        <v>140768</v>
      </c>
      <c r="I708" s="23" t="n">
        <v>3273.68</v>
      </c>
      <c r="J708" s="18" t="n">
        <v>-0.0268</v>
      </c>
      <c r="K708" s="24" t="n">
        <v>56.7</v>
      </c>
      <c r="L708" s="4" t="n">
        <v>11</v>
      </c>
      <c r="M708" s="4" t="inlineStr">
        <is>
          <t>media</t>
        </is>
      </c>
      <c r="N708" s="4" t="inlineStr">
        <is>
          <t>en linea con comparables</t>
        </is>
      </c>
      <c r="O708" s="4" t="n"/>
    </row>
    <row r="709">
      <c r="A709" s="4" t="inlineStr">
        <is>
          <t>MD-1970</t>
        </is>
      </c>
      <c r="B709" s="21" t="n">
        <v>46024</v>
      </c>
      <c r="C709" s="4" t="inlineStr">
        <is>
          <t>Villa de Vallecas</t>
        </is>
      </c>
      <c r="D709" s="4" t="n">
        <v>91</v>
      </c>
      <c r="E709" s="4" t="inlineStr">
        <is>
          <t>obra nueva</t>
        </is>
      </c>
      <c r="F709" s="22" t="n">
        <v>371000</v>
      </c>
      <c r="G709" s="23" t="n">
        <v>4076.92</v>
      </c>
      <c r="H709" s="22" t="n"/>
      <c r="I709" s="23" t="n"/>
      <c r="J709" s="18" t="n"/>
      <c r="K709" s="24" t="n"/>
      <c r="L709" s="4" t="n">
        <v>4</v>
      </c>
      <c r="M709" s="4" t="inlineStr">
        <is>
          <t>sin muestra</t>
        </is>
      </c>
      <c r="N709" s="4" t="inlineStr">
        <is>
          <t>no valorable</t>
        </is>
      </c>
      <c r="O709" s="4" t="inlineStr">
        <is>
          <t>segmento con pocas operaciones comparables</t>
        </is>
      </c>
    </row>
    <row r="710">
      <c r="A710" s="4" t="inlineStr">
        <is>
          <t>MD-1937</t>
        </is>
      </c>
      <c r="B710" s="21" t="n">
        <v>46024</v>
      </c>
      <c r="C710" s="4" t="inlineStr">
        <is>
          <t>Retiro</t>
        </is>
      </c>
      <c r="D710" s="4" t="n">
        <v>79</v>
      </c>
      <c r="E710" s="4" t="inlineStr">
        <is>
          <t>buen estado</t>
        </is>
      </c>
      <c r="F710" s="22" t="n">
        <v>556000</v>
      </c>
      <c r="G710" s="23" t="n">
        <v>7037.97</v>
      </c>
      <c r="H710" s="22" t="n">
        <v>571531</v>
      </c>
      <c r="I710" s="23" t="n">
        <v>7234.57</v>
      </c>
      <c r="J710" s="18" t="n">
        <v>-0.0272</v>
      </c>
      <c r="K710" s="24" t="n">
        <v>56.8</v>
      </c>
      <c r="L710" s="4" t="n">
        <v>13</v>
      </c>
      <c r="M710" s="4" t="inlineStr">
        <is>
          <t>media</t>
        </is>
      </c>
      <c r="N710" s="4" t="inlineStr">
        <is>
          <t>en linea con comparables</t>
        </is>
      </c>
      <c r="O710" s="4" t="n"/>
    </row>
    <row r="711">
      <c r="A711" s="4" t="inlineStr">
        <is>
          <t>MD-1634</t>
        </is>
      </c>
      <c r="B711" s="21" t="n">
        <v>46025</v>
      </c>
      <c r="C711" s="4" t="inlineStr">
        <is>
          <t>Villa de Vallecas</t>
        </is>
      </c>
      <c r="D711" s="4" t="n">
        <v>92</v>
      </c>
      <c r="E711" s="4" t="inlineStr">
        <is>
          <t>reformado</t>
        </is>
      </c>
      <c r="F711" s="22" t="n">
        <v>305000</v>
      </c>
      <c r="G711" s="23" t="n">
        <v>3315.22</v>
      </c>
      <c r="H711" s="22" t="n">
        <v>307713</v>
      </c>
      <c r="I711" s="23" t="n">
        <v>3344.7</v>
      </c>
      <c r="J711" s="18" t="n">
        <v>-0.008800000000000001</v>
      </c>
      <c r="K711" s="24" t="n">
        <v>52.2</v>
      </c>
      <c r="L711" s="4" t="n">
        <v>5</v>
      </c>
      <c r="M711" s="4" t="inlineStr">
        <is>
          <t>baja</t>
        </is>
      </c>
      <c r="N711" s="4" t="inlineStr">
        <is>
          <t>en linea con comparables</t>
        </is>
      </c>
      <c r="O711" s="4" t="n"/>
    </row>
    <row r="712">
      <c r="A712" s="4" t="inlineStr">
        <is>
          <t>MD-1691</t>
        </is>
      </c>
      <c r="B712" s="21" t="n">
        <v>46025</v>
      </c>
      <c r="C712" s="4" t="inlineStr">
        <is>
          <t>Ciudad Lineal</t>
        </is>
      </c>
      <c r="D712" s="4" t="n">
        <v>82</v>
      </c>
      <c r="E712" s="4" t="inlineStr">
        <is>
          <t>reformado</t>
        </is>
      </c>
      <c r="F712" s="22" t="n">
        <v>296000</v>
      </c>
      <c r="G712" s="23" t="n">
        <v>3609.76</v>
      </c>
      <c r="H712" s="22" t="n">
        <v>394950</v>
      </c>
      <c r="I712" s="23" t="n">
        <v>4816.47</v>
      </c>
      <c r="J712" s="18" t="n">
        <v>-0.2505</v>
      </c>
      <c r="K712" s="24" t="n">
        <v>100</v>
      </c>
      <c r="L712" s="4" t="n">
        <v>8</v>
      </c>
      <c r="M712" s="4" t="inlineStr">
        <is>
          <t>media</t>
        </is>
      </c>
      <c r="N712" s="4" t="inlineStr">
        <is>
          <t>por debajo de comparables</t>
        </is>
      </c>
      <c r="O712" s="4" t="n"/>
    </row>
    <row r="713">
      <c r="A713" s="4" t="inlineStr">
        <is>
          <t>MD-1355</t>
        </is>
      </c>
      <c r="B713" s="21" t="n">
        <v>46025</v>
      </c>
      <c r="C713" s="4" t="inlineStr">
        <is>
          <t>Ciudad Lineal</t>
        </is>
      </c>
      <c r="D713" s="4" t="n">
        <v>51</v>
      </c>
      <c r="E713" s="4" t="inlineStr">
        <is>
          <t>buen estado</t>
        </is>
      </c>
      <c r="F713" s="22" t="n">
        <v>311000</v>
      </c>
      <c r="G713" s="23" t="n">
        <v>6098.04</v>
      </c>
      <c r="H713" s="22" t="n">
        <v>250060</v>
      </c>
      <c r="I713" s="23" t="n">
        <v>4903.13</v>
      </c>
      <c r="J713" s="18" t="n">
        <v>0.2437</v>
      </c>
      <c r="K713" s="24" t="n">
        <v>0</v>
      </c>
      <c r="L713" s="4" t="n">
        <v>16</v>
      </c>
      <c r="M713" s="4" t="inlineStr">
        <is>
          <t>alta</t>
        </is>
      </c>
      <c r="N713" s="4" t="inlineStr">
        <is>
          <t>por encima de comparables</t>
        </is>
      </c>
      <c r="O713" s="4" t="n"/>
    </row>
    <row r="714">
      <c r="A714" s="4" t="inlineStr">
        <is>
          <t>MD-0694</t>
        </is>
      </c>
      <c r="B714" s="21" t="n">
        <v>46026</v>
      </c>
      <c r="C714" s="4" t="inlineStr">
        <is>
          <t>Ciudad Lineal</t>
        </is>
      </c>
      <c r="D714" s="4" t="n">
        <v>84</v>
      </c>
      <c r="E714" s="4" t="inlineStr">
        <is>
          <t>buen estado</t>
        </is>
      </c>
      <c r="F714" s="22" t="n">
        <v>501000</v>
      </c>
      <c r="G714" s="23" t="n">
        <v>5964.29</v>
      </c>
      <c r="H714" s="22" t="n">
        <v>401703</v>
      </c>
      <c r="I714" s="23" t="n">
        <v>4782.18</v>
      </c>
      <c r="J714" s="18" t="n">
        <v>0.2472</v>
      </c>
      <c r="K714" s="24" t="n">
        <v>0</v>
      </c>
      <c r="L714" s="4" t="n">
        <v>8</v>
      </c>
      <c r="M714" s="4" t="inlineStr">
        <is>
          <t>media</t>
        </is>
      </c>
      <c r="N714" s="4" t="inlineStr">
        <is>
          <t>por encima de comparables</t>
        </is>
      </c>
      <c r="O714" s="4" t="n"/>
    </row>
    <row r="715">
      <c r="A715" s="4" t="inlineStr">
        <is>
          <t>MD-1464</t>
        </is>
      </c>
      <c r="B715" s="21" t="n">
        <v>46026</v>
      </c>
      <c r="C715" s="4" t="inlineStr">
        <is>
          <t>Arganzuela</t>
        </is>
      </c>
      <c r="D715" s="4" t="n">
        <v>55</v>
      </c>
      <c r="E715" s="4" t="inlineStr">
        <is>
          <t>buen estado</t>
        </is>
      </c>
      <c r="F715" s="22" t="n">
        <v>270000</v>
      </c>
      <c r="G715" s="23" t="n">
        <v>4909.09</v>
      </c>
      <c r="H715" s="22" t="n">
        <v>303290</v>
      </c>
      <c r="I715" s="23" t="n">
        <v>5514.36</v>
      </c>
      <c r="J715" s="18" t="n">
        <v>-0.1098</v>
      </c>
      <c r="K715" s="24" t="n">
        <v>77.40000000000001</v>
      </c>
      <c r="L715" s="4" t="n">
        <v>8</v>
      </c>
      <c r="M715" s="4" t="inlineStr">
        <is>
          <t>media</t>
        </is>
      </c>
      <c r="N715" s="4" t="inlineStr">
        <is>
          <t>por debajo de comparables</t>
        </is>
      </c>
      <c r="O715" s="4" t="n"/>
    </row>
    <row r="716">
      <c r="A716" s="4" t="inlineStr">
        <is>
          <t>MD-1077</t>
        </is>
      </c>
      <c r="B716" s="21" t="n">
        <v>46026</v>
      </c>
      <c r="C716" s="4" t="inlineStr">
        <is>
          <t>Ciudad Lineal</t>
        </is>
      </c>
      <c r="D716" s="4" t="n">
        <v>75</v>
      </c>
      <c r="E716" s="4" t="inlineStr">
        <is>
          <t>buen estado</t>
        </is>
      </c>
      <c r="F716" s="22" t="n">
        <v>497000</v>
      </c>
      <c r="G716" s="23" t="n">
        <v>6626.67</v>
      </c>
      <c r="H716" s="22" t="n">
        <v>402348</v>
      </c>
      <c r="I716" s="23" t="n">
        <v>5364.64</v>
      </c>
      <c r="J716" s="18" t="n">
        <v>0.2352</v>
      </c>
      <c r="K716" s="24" t="n">
        <v>0</v>
      </c>
      <c r="L716" s="4" t="n">
        <v>16</v>
      </c>
      <c r="M716" s="4" t="inlineStr">
        <is>
          <t>media</t>
        </is>
      </c>
      <c r="N716" s="4" t="inlineStr">
        <is>
          <t>por encima de comparables</t>
        </is>
      </c>
      <c r="O716" s="4" t="n"/>
    </row>
    <row r="717">
      <c r="A717" s="4" t="inlineStr">
        <is>
          <t>MD-1409</t>
        </is>
      </c>
      <c r="B717" s="21" t="n">
        <v>46026</v>
      </c>
      <c r="C717" s="4" t="inlineStr">
        <is>
          <t>Tetuan</t>
        </is>
      </c>
      <c r="D717" s="4" t="n">
        <v>29</v>
      </c>
      <c r="E717" s="4" t="inlineStr">
        <is>
          <t>a reformar</t>
        </is>
      </c>
      <c r="F717" s="22" t="n">
        <v>125000</v>
      </c>
      <c r="G717" s="23" t="n">
        <v>4310.34</v>
      </c>
      <c r="H717" s="22" t="n"/>
      <c r="I717" s="23" t="n"/>
      <c r="J717" s="18" t="n"/>
      <c r="K717" s="24" t="n"/>
      <c r="L717" s="4" t="n">
        <v>2</v>
      </c>
      <c r="M717" s="4" t="inlineStr">
        <is>
          <t>sin muestra</t>
        </is>
      </c>
      <c r="N717" s="4" t="inlineStr">
        <is>
          <t>no valorable</t>
        </is>
      </c>
      <c r="O717" s="4" t="inlineStr">
        <is>
          <t>segmento con pocas operaciones comparables</t>
        </is>
      </c>
    </row>
    <row r="718">
      <c r="A718" s="4" t="inlineStr">
        <is>
          <t>MD-0797</t>
        </is>
      </c>
      <c r="B718" s="21" t="n">
        <v>46026</v>
      </c>
      <c r="C718" s="4" t="inlineStr">
        <is>
          <t>Arganzuela</t>
        </is>
      </c>
      <c r="D718" s="4" t="n">
        <v>57</v>
      </c>
      <c r="E718" s="4" t="inlineStr">
        <is>
          <t>obra nueva</t>
        </is>
      </c>
      <c r="F718" s="22" t="n">
        <v>484000</v>
      </c>
      <c r="G718" s="23" t="n">
        <v>8491.23</v>
      </c>
      <c r="H718" s="22" t="n">
        <v>386886</v>
      </c>
      <c r="I718" s="23" t="n">
        <v>6787.47</v>
      </c>
      <c r="J718" s="18" t="n">
        <v>0.251</v>
      </c>
      <c r="K718" s="24" t="n">
        <v>0</v>
      </c>
      <c r="L718" s="4" t="n">
        <v>9</v>
      </c>
      <c r="M718" s="4" t="inlineStr">
        <is>
          <t>media</t>
        </is>
      </c>
      <c r="N718" s="4" t="inlineStr">
        <is>
          <t>por encima de comparables</t>
        </is>
      </c>
      <c r="O718" s="4" t="n"/>
    </row>
    <row r="719">
      <c r="A719" s="4" t="inlineStr">
        <is>
          <t>MD-0714</t>
        </is>
      </c>
      <c r="B719" s="21" t="n">
        <v>46026</v>
      </c>
      <c r="C719" s="4" t="inlineStr">
        <is>
          <t>Carabanchel</t>
        </is>
      </c>
      <c r="D719" s="4" t="n">
        <v>59</v>
      </c>
      <c r="E719" s="4" t="inlineStr">
        <is>
          <t>buen estado</t>
        </is>
      </c>
      <c r="F719" s="22" t="n">
        <v>225000</v>
      </c>
      <c r="G719" s="23" t="n">
        <v>3813.56</v>
      </c>
      <c r="H719" s="22" t="n">
        <v>200197</v>
      </c>
      <c r="I719" s="23" t="n">
        <v>3393.16</v>
      </c>
      <c r="J719" s="18" t="n">
        <v>0.1239</v>
      </c>
      <c r="K719" s="24" t="n">
        <v>19</v>
      </c>
      <c r="L719" s="4" t="n">
        <v>21</v>
      </c>
      <c r="M719" s="4" t="inlineStr">
        <is>
          <t>alta</t>
        </is>
      </c>
      <c r="N719" s="4" t="inlineStr">
        <is>
          <t>por encima de comparables</t>
        </is>
      </c>
      <c r="O719" s="4" t="n"/>
    </row>
    <row r="720">
      <c r="A720" s="4" t="inlineStr">
        <is>
          <t>MD-1203</t>
        </is>
      </c>
      <c r="B720" s="21" t="n">
        <v>46026</v>
      </c>
      <c r="C720" s="4" t="inlineStr">
        <is>
          <t>Hortaleza</t>
        </is>
      </c>
      <c r="D720" s="4" t="n">
        <v>89</v>
      </c>
      <c r="E720" s="4" t="inlineStr">
        <is>
          <t>buen estado</t>
        </is>
      </c>
      <c r="F720" s="22" t="n">
        <v>603000</v>
      </c>
      <c r="G720" s="23" t="n">
        <v>6775.28</v>
      </c>
      <c r="H720" s="22" t="n">
        <v>467505</v>
      </c>
      <c r="I720" s="23" t="n">
        <v>5252.87</v>
      </c>
      <c r="J720" s="18" t="n">
        <v>0.2898</v>
      </c>
      <c r="K720" s="24" t="n">
        <v>0</v>
      </c>
      <c r="L720" s="4" t="n">
        <v>15</v>
      </c>
      <c r="M720" s="4" t="inlineStr">
        <is>
          <t>alta</t>
        </is>
      </c>
      <c r="N720" s="4" t="inlineStr">
        <is>
          <t>por encima de comparables</t>
        </is>
      </c>
      <c r="O720" s="4" t="n"/>
    </row>
    <row r="721">
      <c r="A721" s="4" t="inlineStr">
        <is>
          <t>MD-0164</t>
        </is>
      </c>
      <c r="B721" s="21" t="n">
        <v>46027</v>
      </c>
      <c r="C721" s="4" t="inlineStr">
        <is>
          <t>Latina</t>
        </is>
      </c>
      <c r="D721" s="4" t="n">
        <v>66</v>
      </c>
      <c r="E721" s="4" t="inlineStr">
        <is>
          <t>a reformar</t>
        </is>
      </c>
      <c r="F721" s="22" t="n">
        <v>215000</v>
      </c>
      <c r="G721" s="23" t="n">
        <v>3257.58</v>
      </c>
      <c r="H721" s="22" t="n">
        <v>184745</v>
      </c>
      <c r="I721" s="23" t="n">
        <v>2799.17</v>
      </c>
      <c r="J721" s="18" t="n">
        <v>0.1638</v>
      </c>
      <c r="K721" s="24" t="n">
        <v>9.1</v>
      </c>
      <c r="L721" s="4" t="n">
        <v>25</v>
      </c>
      <c r="M721" s="4" t="inlineStr">
        <is>
          <t>media</t>
        </is>
      </c>
      <c r="N721" s="4" t="inlineStr">
        <is>
          <t>por encima de comparables</t>
        </is>
      </c>
      <c r="O721" s="4" t="n"/>
    </row>
    <row r="722">
      <c r="A722" s="4" t="inlineStr">
        <is>
          <t>MD-1139</t>
        </is>
      </c>
      <c r="B722" s="21" t="n">
        <v>46027</v>
      </c>
      <c r="C722" s="4" t="inlineStr">
        <is>
          <t>Retiro</t>
        </is>
      </c>
      <c r="D722" s="4" t="n">
        <v>161</v>
      </c>
      <c r="E722" s="4" t="inlineStr">
        <is>
          <t>reformado</t>
        </is>
      </c>
      <c r="F722" s="22" t="n">
        <v>939000</v>
      </c>
      <c r="G722" s="23" t="n">
        <v>5832.3</v>
      </c>
      <c r="H722" s="22" t="n">
        <v>1149706</v>
      </c>
      <c r="I722" s="23" t="n">
        <v>7141.03</v>
      </c>
      <c r="J722" s="18" t="n">
        <v>-0.1833</v>
      </c>
      <c r="K722" s="24" t="n">
        <v>95.8</v>
      </c>
      <c r="L722" s="4" t="n">
        <v>10</v>
      </c>
      <c r="M722" s="4" t="inlineStr">
        <is>
          <t>media</t>
        </is>
      </c>
      <c r="N722" s="4" t="inlineStr">
        <is>
          <t>por debajo de comparables</t>
        </is>
      </c>
      <c r="O722" s="4" t="n"/>
    </row>
    <row r="723">
      <c r="A723" s="4" t="inlineStr">
        <is>
          <t>MD-0098</t>
        </is>
      </c>
      <c r="B723" s="21" t="n">
        <v>46027</v>
      </c>
      <c r="C723" s="4" t="inlineStr">
        <is>
          <t>Fuencarral-El Pardo</t>
        </is>
      </c>
      <c r="D723" s="4" t="n">
        <v>184</v>
      </c>
      <c r="E723" s="4" t="inlineStr">
        <is>
          <t>buen estado</t>
        </is>
      </c>
      <c r="F723" s="22" t="n">
        <v>951000</v>
      </c>
      <c r="G723" s="23" t="n">
        <v>5168.48</v>
      </c>
      <c r="H723" s="22" t="n">
        <v>914225</v>
      </c>
      <c r="I723" s="23" t="n">
        <v>4968.61</v>
      </c>
      <c r="J723" s="18" t="n">
        <v>0.0402</v>
      </c>
      <c r="K723" s="24" t="n">
        <v>39.9</v>
      </c>
      <c r="L723" s="4" t="n">
        <v>7</v>
      </c>
      <c r="M723" s="4" t="inlineStr">
        <is>
          <t>baja</t>
        </is>
      </c>
      <c r="N723" s="4" t="inlineStr">
        <is>
          <t>en linea con comparables</t>
        </is>
      </c>
      <c r="O723" s="4" t="n"/>
    </row>
    <row r="724">
      <c r="A724" s="4" t="inlineStr">
        <is>
          <t>MD-0147</t>
        </is>
      </c>
      <c r="B724" s="21" t="n">
        <v>46027</v>
      </c>
      <c r="C724" s="4" t="inlineStr">
        <is>
          <t>Carabanchel</t>
        </is>
      </c>
      <c r="D724" s="4" t="n">
        <v>31</v>
      </c>
      <c r="E724" s="4" t="inlineStr">
        <is>
          <t>buen estado</t>
        </is>
      </c>
      <c r="F724" s="22" t="n">
        <v>88000</v>
      </c>
      <c r="G724" s="23" t="n">
        <v>2838.71</v>
      </c>
      <c r="H724" s="22" t="n"/>
      <c r="I724" s="23" t="n"/>
      <c r="J724" s="18" t="n"/>
      <c r="K724" s="24" t="n"/>
      <c r="L724" s="4" t="n">
        <v>1</v>
      </c>
      <c r="M724" s="4" t="inlineStr">
        <is>
          <t>sin muestra</t>
        </is>
      </c>
      <c r="N724" s="4" t="inlineStr">
        <is>
          <t>no valorable</t>
        </is>
      </c>
      <c r="O724" s="4" t="inlineStr">
        <is>
          <t>segmento con pocas operaciones comparables</t>
        </is>
      </c>
    </row>
    <row r="725">
      <c r="A725" s="4" t="inlineStr">
        <is>
          <t>MD-0317</t>
        </is>
      </c>
      <c r="B725" s="21" t="n">
        <v>46027</v>
      </c>
      <c r="C725" s="4" t="inlineStr">
        <is>
          <t>Fuencarral-El Pardo</t>
        </is>
      </c>
      <c r="D725" s="4" t="n">
        <v>144</v>
      </c>
      <c r="E725" s="4" t="inlineStr">
        <is>
          <t>a reformar</t>
        </is>
      </c>
      <c r="F725" s="22" t="n">
        <v>707000</v>
      </c>
      <c r="G725" s="23" t="n">
        <v>4909.72</v>
      </c>
      <c r="H725" s="22" t="n">
        <v>648239</v>
      </c>
      <c r="I725" s="23" t="n">
        <v>4501.66</v>
      </c>
      <c r="J725" s="18" t="n">
        <v>0.0906</v>
      </c>
      <c r="K725" s="24" t="n">
        <v>27.3</v>
      </c>
      <c r="L725" s="4" t="n">
        <v>10</v>
      </c>
      <c r="M725" s="4" t="inlineStr">
        <is>
          <t>media</t>
        </is>
      </c>
      <c r="N725" s="4" t="inlineStr">
        <is>
          <t>en linea con comparables</t>
        </is>
      </c>
      <c r="O725" s="4" t="n"/>
    </row>
    <row r="726">
      <c r="A726" s="4" t="inlineStr">
        <is>
          <t>MD-0937</t>
        </is>
      </c>
      <c r="B726" s="21" t="n">
        <v>46028</v>
      </c>
      <c r="C726" s="4" t="inlineStr">
        <is>
          <t>Chamartin</t>
        </is>
      </c>
      <c r="D726" s="4" t="n">
        <v>63</v>
      </c>
      <c r="E726" s="4" t="inlineStr">
        <is>
          <t>reformado</t>
        </is>
      </c>
      <c r="F726" s="22" t="n">
        <v>609000</v>
      </c>
      <c r="G726" s="23" t="n">
        <v>9666.67</v>
      </c>
      <c r="H726" s="22" t="n">
        <v>535175</v>
      </c>
      <c r="I726" s="23" t="n">
        <v>8494.84</v>
      </c>
      <c r="J726" s="18" t="n">
        <v>0.1379</v>
      </c>
      <c r="K726" s="24" t="n">
        <v>15.5</v>
      </c>
      <c r="L726" s="4" t="n">
        <v>11</v>
      </c>
      <c r="M726" s="4" t="inlineStr">
        <is>
          <t>media</t>
        </is>
      </c>
      <c r="N726" s="4" t="inlineStr">
        <is>
          <t>por encima de comparables</t>
        </is>
      </c>
      <c r="O726" s="4" t="n"/>
    </row>
    <row r="727">
      <c r="A727" s="4" t="inlineStr">
        <is>
          <t>MD-0768</t>
        </is>
      </c>
      <c r="B727" s="21" t="n">
        <v>46028</v>
      </c>
      <c r="C727" s="4" t="inlineStr">
        <is>
          <t>San Blas-Canillejas</t>
        </is>
      </c>
      <c r="D727" s="4" t="n">
        <v>134</v>
      </c>
      <c r="E727" s="4" t="inlineStr">
        <is>
          <t>buen estado</t>
        </is>
      </c>
      <c r="F727" s="22" t="n">
        <v>515000</v>
      </c>
      <c r="G727" s="23" t="n">
        <v>3843.28</v>
      </c>
      <c r="H727" s="22" t="n">
        <v>517035</v>
      </c>
      <c r="I727" s="23" t="n">
        <v>3858.47</v>
      </c>
      <c r="J727" s="18" t="n">
        <v>-0.0039</v>
      </c>
      <c r="K727" s="24" t="n">
        <v>51</v>
      </c>
      <c r="L727" s="4" t="n">
        <v>8</v>
      </c>
      <c r="M727" s="4" t="inlineStr">
        <is>
          <t>media</t>
        </is>
      </c>
      <c r="N727" s="4" t="inlineStr">
        <is>
          <t>en linea con comparables</t>
        </is>
      </c>
      <c r="O727" s="4" t="n"/>
    </row>
    <row r="728">
      <c r="A728" s="4" t="inlineStr">
        <is>
          <t>MD-1380</t>
        </is>
      </c>
      <c r="B728" s="21" t="n">
        <v>46028</v>
      </c>
      <c r="C728" s="4" t="inlineStr">
        <is>
          <t>Villaverde</t>
        </is>
      </c>
      <c r="D728" s="4" t="n">
        <v>84</v>
      </c>
      <c r="E728" s="4" t="inlineStr">
        <is>
          <t>reformado</t>
        </is>
      </c>
      <c r="F728" s="22" t="n">
        <v>172000</v>
      </c>
      <c r="G728" s="23" t="n">
        <v>2047.62</v>
      </c>
      <c r="H728" s="22" t="n"/>
      <c r="I728" s="23" t="n"/>
      <c r="J728" s="18" t="n"/>
      <c r="K728" s="24" t="n"/>
      <c r="L728" s="4" t="n">
        <v>2</v>
      </c>
      <c r="M728" s="4" t="inlineStr">
        <is>
          <t>sin muestra</t>
        </is>
      </c>
      <c r="N728" s="4" t="inlineStr">
        <is>
          <t>no valorable</t>
        </is>
      </c>
      <c r="O728" s="4" t="inlineStr">
        <is>
          <t>segmento con pocas operaciones comparables</t>
        </is>
      </c>
    </row>
    <row r="729">
      <c r="A729" s="4" t="inlineStr">
        <is>
          <t>MD-1854</t>
        </is>
      </c>
      <c r="B729" s="21" t="n">
        <v>46029</v>
      </c>
      <c r="C729" s="4" t="inlineStr">
        <is>
          <t>Villa de Vallecas</t>
        </is>
      </c>
      <c r="D729" s="4" t="n">
        <v>45</v>
      </c>
      <c r="E729" s="4" t="inlineStr">
        <is>
          <t>buen estado</t>
        </is>
      </c>
      <c r="F729" s="22" t="n">
        <v>123000</v>
      </c>
      <c r="G729" s="23" t="n">
        <v>2733.33</v>
      </c>
      <c r="H729" s="22" t="n"/>
      <c r="I729" s="23" t="n"/>
      <c r="J729" s="18" t="n"/>
      <c r="K729" s="24" t="n"/>
      <c r="L729" s="4" t="n">
        <v>3</v>
      </c>
      <c r="M729" s="4" t="inlineStr">
        <is>
          <t>sin muestra</t>
        </is>
      </c>
      <c r="N729" s="4" t="inlineStr">
        <is>
          <t>no valorable</t>
        </is>
      </c>
      <c r="O729" s="4" t="inlineStr">
        <is>
          <t>segmento con pocas operaciones comparables</t>
        </is>
      </c>
    </row>
    <row r="730">
      <c r="A730" s="4" t="inlineStr">
        <is>
          <t>MD-0606</t>
        </is>
      </c>
      <c r="B730" s="21" t="n">
        <v>46029</v>
      </c>
      <c r="C730" s="4" t="inlineStr">
        <is>
          <t>Usera</t>
        </is>
      </c>
      <c r="D730" s="4" t="n">
        <v>76</v>
      </c>
      <c r="E730" s="4" t="inlineStr">
        <is>
          <t>reformado</t>
        </is>
      </c>
      <c r="F730" s="22" t="n">
        <v>270000</v>
      </c>
      <c r="G730" s="23" t="n">
        <v>3552.63</v>
      </c>
      <c r="H730" s="22" t="n">
        <v>221456</v>
      </c>
      <c r="I730" s="23" t="n">
        <v>2913.89</v>
      </c>
      <c r="J730" s="18" t="n">
        <v>0.2192</v>
      </c>
      <c r="K730" s="24" t="n">
        <v>0</v>
      </c>
      <c r="L730" s="4" t="n">
        <v>11</v>
      </c>
      <c r="M730" s="4" t="inlineStr">
        <is>
          <t>media</t>
        </is>
      </c>
      <c r="N730" s="4" t="inlineStr">
        <is>
          <t>por encima de comparables</t>
        </is>
      </c>
      <c r="O730" s="4" t="n"/>
    </row>
    <row r="731">
      <c r="A731" s="4" t="inlineStr">
        <is>
          <t>MD-1752</t>
        </is>
      </c>
      <c r="B731" s="21" t="n">
        <v>46029</v>
      </c>
      <c r="C731" s="4" t="inlineStr">
        <is>
          <t>Arganzuela</t>
        </is>
      </c>
      <c r="D731" s="4" t="n">
        <v>82</v>
      </c>
      <c r="E731" s="4" t="inlineStr">
        <is>
          <t>buen estado</t>
        </is>
      </c>
      <c r="F731" s="22" t="n">
        <v>478000</v>
      </c>
      <c r="G731" s="23" t="n">
        <v>5829.27</v>
      </c>
      <c r="H731" s="22" t="n">
        <v>558717</v>
      </c>
      <c r="I731" s="23" t="n">
        <v>6813.62</v>
      </c>
      <c r="J731" s="18" t="n">
        <v>-0.1445</v>
      </c>
      <c r="K731" s="24" t="n">
        <v>86.09999999999999</v>
      </c>
      <c r="L731" s="4" t="n">
        <v>7</v>
      </c>
      <c r="M731" s="4" t="inlineStr">
        <is>
          <t>baja</t>
        </is>
      </c>
      <c r="N731" s="4" t="inlineStr">
        <is>
          <t>por debajo de comparables</t>
        </is>
      </c>
      <c r="O731" s="4" t="n"/>
    </row>
    <row r="732">
      <c r="A732" s="4" t="inlineStr">
        <is>
          <t>MD-1535</t>
        </is>
      </c>
      <c r="B732" s="21" t="n">
        <v>46029</v>
      </c>
      <c r="C732" s="4" t="inlineStr">
        <is>
          <t>Tetuan</t>
        </is>
      </c>
      <c r="D732" s="4" t="n">
        <v>183</v>
      </c>
      <c r="E732" s="4" t="inlineStr">
        <is>
          <t>buen estado</t>
        </is>
      </c>
      <c r="F732" s="22" t="n">
        <v>189000</v>
      </c>
      <c r="G732" s="23" t="n">
        <v>1032.79</v>
      </c>
      <c r="H732" s="22" t="n"/>
      <c r="I732" s="23" t="n"/>
      <c r="J732" s="18" t="n"/>
      <c r="K732" s="24" t="n"/>
      <c r="L732" s="4" t="n">
        <v>4</v>
      </c>
      <c r="M732" s="4" t="inlineStr">
        <is>
          <t>sin muestra</t>
        </is>
      </c>
      <c r="N732" s="4" t="inlineStr">
        <is>
          <t>no valorable</t>
        </is>
      </c>
      <c r="O732" s="4" t="inlineStr">
        <is>
          <t>segmento con pocas operaciones comparables</t>
        </is>
      </c>
    </row>
    <row r="733">
      <c r="A733" s="4" t="inlineStr">
        <is>
          <t>MD-1341</t>
        </is>
      </c>
      <c r="B733" s="21" t="n">
        <v>46029</v>
      </c>
      <c r="C733" s="4" t="inlineStr">
        <is>
          <t>Moncloa-Aravaca</t>
        </is>
      </c>
      <c r="D733" s="4" t="n">
        <v>78</v>
      </c>
      <c r="E733" s="4" t="inlineStr">
        <is>
          <t>buen estado</t>
        </is>
      </c>
      <c r="F733" s="22" t="n">
        <v>418000</v>
      </c>
      <c r="G733" s="23" t="n">
        <v>5358.97</v>
      </c>
      <c r="H733" s="22" t="n">
        <v>497000</v>
      </c>
      <c r="I733" s="23" t="n">
        <v>6371.79</v>
      </c>
      <c r="J733" s="18" t="n">
        <v>-0.159</v>
      </c>
      <c r="K733" s="24" t="n">
        <v>89.7</v>
      </c>
      <c r="L733" s="4" t="n">
        <v>5</v>
      </c>
      <c r="M733" s="4" t="inlineStr">
        <is>
          <t>baja</t>
        </is>
      </c>
      <c r="N733" s="4" t="inlineStr">
        <is>
          <t>por debajo de comparables</t>
        </is>
      </c>
      <c r="O733" s="4" t="n"/>
    </row>
    <row r="734">
      <c r="A734" s="4" t="inlineStr">
        <is>
          <t>MD-1726</t>
        </is>
      </c>
      <c r="B734" s="21" t="n">
        <v>46029</v>
      </c>
      <c r="C734" s="4" t="inlineStr">
        <is>
          <t>Retiro</t>
        </is>
      </c>
      <c r="D734" s="4" t="n">
        <v>53</v>
      </c>
      <c r="E734" s="4" t="inlineStr">
        <is>
          <t>a reformar</t>
        </is>
      </c>
      <c r="F734" s="22" t="n">
        <v>318000</v>
      </c>
      <c r="G734" s="23" t="n">
        <v>6000</v>
      </c>
      <c r="H734" s="22" t="n">
        <v>326445</v>
      </c>
      <c r="I734" s="23" t="n">
        <v>6159.33</v>
      </c>
      <c r="J734" s="18" t="n">
        <v>-0.0259</v>
      </c>
      <c r="K734" s="24" t="n">
        <v>56.5</v>
      </c>
      <c r="L734" s="4" t="n">
        <v>8</v>
      </c>
      <c r="M734" s="4" t="inlineStr">
        <is>
          <t>media</t>
        </is>
      </c>
      <c r="N734" s="4" t="inlineStr">
        <is>
          <t>en linea con comparables</t>
        </is>
      </c>
      <c r="O734" s="4" t="n"/>
    </row>
    <row r="735">
      <c r="A735" s="4" t="inlineStr">
        <is>
          <t>MD-0437</t>
        </is>
      </c>
      <c r="B735" s="21" t="n">
        <v>46030</v>
      </c>
      <c r="C735" s="4" t="inlineStr">
        <is>
          <t>Usera</t>
        </is>
      </c>
      <c r="D735" s="4" t="n">
        <v>152</v>
      </c>
      <c r="E735" s="4" t="inlineStr">
        <is>
          <t>buen estado</t>
        </is>
      </c>
      <c r="F735" s="22" t="n">
        <v>392000</v>
      </c>
      <c r="G735" s="23" t="n">
        <v>2578.95</v>
      </c>
      <c r="H735" s="22" t="n"/>
      <c r="I735" s="23" t="n"/>
      <c r="J735" s="18" t="n"/>
      <c r="K735" s="24" t="n"/>
      <c r="L735" s="4" t="n">
        <v>0</v>
      </c>
      <c r="M735" s="4" t="inlineStr">
        <is>
          <t>sin muestra</t>
        </is>
      </c>
      <c r="N735" s="4" t="inlineStr">
        <is>
          <t>no valorable</t>
        </is>
      </c>
      <c r="O735" s="4" t="inlineStr">
        <is>
          <t>segmento con pocas operaciones comparables</t>
        </is>
      </c>
    </row>
    <row r="736">
      <c r="A736" s="4" t="inlineStr">
        <is>
          <t>MD-1705</t>
        </is>
      </c>
      <c r="B736" s="21" t="n">
        <v>46031</v>
      </c>
      <c r="C736" s="4" t="inlineStr">
        <is>
          <t>Chamberi</t>
        </is>
      </c>
      <c r="D736" s="4" t="n">
        <v>57</v>
      </c>
      <c r="E736" s="4" t="inlineStr">
        <is>
          <t>buen estado</t>
        </is>
      </c>
      <c r="F736" s="22" t="n">
        <v>441000</v>
      </c>
      <c r="G736" s="23" t="n">
        <v>7736.84</v>
      </c>
      <c r="H736" s="22" t="n">
        <v>385002</v>
      </c>
      <c r="I736" s="23" t="n">
        <v>6754.43</v>
      </c>
      <c r="J736" s="18" t="n">
        <v>0.1454</v>
      </c>
      <c r="K736" s="24" t="n">
        <v>13.6</v>
      </c>
      <c r="L736" s="4" t="n">
        <v>8</v>
      </c>
      <c r="M736" s="4" t="inlineStr">
        <is>
          <t>media</t>
        </is>
      </c>
      <c r="N736" s="4" t="inlineStr">
        <is>
          <t>por encima de comparables</t>
        </is>
      </c>
      <c r="O736" s="4" t="n"/>
    </row>
    <row r="737">
      <c r="A737" s="4" t="inlineStr">
        <is>
          <t>MD-0113</t>
        </is>
      </c>
      <c r="B737" s="21" t="n">
        <v>46031</v>
      </c>
      <c r="C737" s="4" t="inlineStr">
        <is>
          <t>Hortaleza</t>
        </is>
      </c>
      <c r="D737" s="4" t="n">
        <v>79</v>
      </c>
      <c r="E737" s="4" t="inlineStr">
        <is>
          <t>reformado</t>
        </is>
      </c>
      <c r="F737" s="22" t="n">
        <v>549000</v>
      </c>
      <c r="G737" s="23" t="n">
        <v>6949.37</v>
      </c>
      <c r="H737" s="22" t="n">
        <v>445863</v>
      </c>
      <c r="I737" s="23" t="n">
        <v>5643.84</v>
      </c>
      <c r="J737" s="18" t="n">
        <v>0.2313</v>
      </c>
      <c r="K737" s="24" t="n">
        <v>0</v>
      </c>
      <c r="L737" s="4" t="n">
        <v>13</v>
      </c>
      <c r="M737" s="4" t="inlineStr">
        <is>
          <t>media</t>
        </is>
      </c>
      <c r="N737" s="4" t="inlineStr">
        <is>
          <t>por encima de comparables</t>
        </is>
      </c>
      <c r="O737" s="4" t="n"/>
    </row>
    <row r="738">
      <c r="A738" s="4" t="inlineStr">
        <is>
          <t>MD-1988</t>
        </is>
      </c>
      <c r="B738" s="21" t="n">
        <v>46031</v>
      </c>
      <c r="C738" s="4" t="inlineStr">
        <is>
          <t>San Blas-Canillejas</t>
        </is>
      </c>
      <c r="D738" s="4" t="n">
        <v>144</v>
      </c>
      <c r="E738" s="4" t="inlineStr">
        <is>
          <t>obra nueva</t>
        </is>
      </c>
      <c r="F738" s="22" t="n">
        <v>622000</v>
      </c>
      <c r="G738" s="23" t="n">
        <v>4319.44</v>
      </c>
      <c r="H738" s="22" t="n">
        <v>624195</v>
      </c>
      <c r="I738" s="23" t="n">
        <v>4334.69</v>
      </c>
      <c r="J738" s="18" t="n">
        <v>-0.0035</v>
      </c>
      <c r="K738" s="24" t="n">
        <v>50.9</v>
      </c>
      <c r="L738" s="4" t="n">
        <v>6</v>
      </c>
      <c r="M738" s="4" t="inlineStr">
        <is>
          <t>baja</t>
        </is>
      </c>
      <c r="N738" s="4" t="inlineStr">
        <is>
          <t>en linea con comparables</t>
        </is>
      </c>
      <c r="O738" s="4" t="n"/>
    </row>
    <row r="739">
      <c r="A739" s="4" t="inlineStr">
        <is>
          <t>MD-1677</t>
        </is>
      </c>
      <c r="B739" s="21" t="n">
        <v>46031</v>
      </c>
      <c r="C739" s="4" t="inlineStr">
        <is>
          <t>Retiro</t>
        </is>
      </c>
      <c r="D739" s="4" t="n">
        <v>55</v>
      </c>
      <c r="E739" s="4" t="inlineStr">
        <is>
          <t>reformado</t>
        </is>
      </c>
      <c r="F739" s="22" t="n">
        <v>335000</v>
      </c>
      <c r="G739" s="23" t="n">
        <v>6090.91</v>
      </c>
      <c r="H739" s="22" t="n">
        <v>416233</v>
      </c>
      <c r="I739" s="23" t="n">
        <v>7567.87</v>
      </c>
      <c r="J739" s="18" t="n">
        <v>-0.1952</v>
      </c>
      <c r="K739" s="24" t="n">
        <v>98.8</v>
      </c>
      <c r="L739" s="4" t="n">
        <v>9</v>
      </c>
      <c r="M739" s="4" t="inlineStr">
        <is>
          <t>media</t>
        </is>
      </c>
      <c r="N739" s="4" t="inlineStr">
        <is>
          <t>por debajo de comparables</t>
        </is>
      </c>
      <c r="O739" s="4" t="n"/>
    </row>
    <row r="740">
      <c r="A740" s="4" t="inlineStr">
        <is>
          <t>MD-1685</t>
        </is>
      </c>
      <c r="B740" s="21" t="n">
        <v>46031</v>
      </c>
      <c r="C740" s="4" t="inlineStr">
        <is>
          <t>Carabanchel</t>
        </is>
      </c>
      <c r="D740" s="4" t="n">
        <v>28</v>
      </c>
      <c r="E740" s="4" t="inlineStr">
        <is>
          <t>a reformar</t>
        </is>
      </c>
      <c r="F740" s="22" t="n">
        <v>65000</v>
      </c>
      <c r="G740" s="23" t="n">
        <v>2321.43</v>
      </c>
      <c r="H740" s="22" t="n"/>
      <c r="I740" s="23" t="n"/>
      <c r="J740" s="18" t="n"/>
      <c r="K740" s="24" t="n"/>
      <c r="L740" s="4" t="n">
        <v>2</v>
      </c>
      <c r="M740" s="4" t="inlineStr">
        <is>
          <t>sin muestra</t>
        </is>
      </c>
      <c r="N740" s="4" t="inlineStr">
        <is>
          <t>no valorable</t>
        </is>
      </c>
      <c r="O740" s="4" t="inlineStr">
        <is>
          <t>segmento con pocas operaciones comparables</t>
        </is>
      </c>
    </row>
    <row r="741">
      <c r="A741" s="4" t="inlineStr">
        <is>
          <t>MD-1390</t>
        </is>
      </c>
      <c r="B741" s="21" t="n">
        <v>46031</v>
      </c>
      <c r="C741" s="4" t="inlineStr">
        <is>
          <t>Centro</t>
        </is>
      </c>
      <c r="D741" s="4" t="n">
        <v>190</v>
      </c>
      <c r="E741" s="4" t="inlineStr">
        <is>
          <t>reformado</t>
        </is>
      </c>
      <c r="F741" s="22" t="n">
        <v>1164000</v>
      </c>
      <c r="G741" s="23" t="n">
        <v>6126.32</v>
      </c>
      <c r="H741" s="22" t="n"/>
      <c r="I741" s="23" t="n"/>
      <c r="J741" s="18" t="n"/>
      <c r="K741" s="24" t="n"/>
      <c r="L741" s="4" t="n">
        <v>2</v>
      </c>
      <c r="M741" s="4" t="inlineStr">
        <is>
          <t>sin muestra</t>
        </is>
      </c>
      <c r="N741" s="4" t="inlineStr">
        <is>
          <t>no valorable</t>
        </is>
      </c>
      <c r="O741" s="4" t="inlineStr">
        <is>
          <t>segmento con pocas operaciones comparables</t>
        </is>
      </c>
    </row>
    <row r="742">
      <c r="A742" s="4" t="inlineStr">
        <is>
          <t>MD-1251</t>
        </is>
      </c>
      <c r="B742" s="21" t="n">
        <v>46031</v>
      </c>
      <c r="C742" s="4" t="inlineStr">
        <is>
          <t>Puente de Vallecas</t>
        </is>
      </c>
      <c r="D742" s="4" t="n">
        <v>89</v>
      </c>
      <c r="E742" s="4" t="inlineStr">
        <is>
          <t>reformado</t>
        </is>
      </c>
      <c r="F742" s="22" t="n">
        <v>315000</v>
      </c>
      <c r="G742" s="23" t="n">
        <v>3539.33</v>
      </c>
      <c r="H742" s="22" t="n">
        <v>279152</v>
      </c>
      <c r="I742" s="23" t="n">
        <v>3136.54</v>
      </c>
      <c r="J742" s="18" t="n">
        <v>0.1284</v>
      </c>
      <c r="K742" s="24" t="n">
        <v>17.9</v>
      </c>
      <c r="L742" s="4" t="n">
        <v>22</v>
      </c>
      <c r="M742" s="4" t="inlineStr">
        <is>
          <t>alta</t>
        </is>
      </c>
      <c r="N742" s="4" t="inlineStr">
        <is>
          <t>por encima de comparables</t>
        </is>
      </c>
      <c r="O742" s="4" t="n"/>
    </row>
    <row r="743">
      <c r="A743" s="4" t="inlineStr">
        <is>
          <t>MD-0211</t>
        </is>
      </c>
      <c r="B743" s="21" t="n">
        <v>46031</v>
      </c>
      <c r="C743" s="4" t="inlineStr">
        <is>
          <t>Ciudad Lineal</t>
        </is>
      </c>
      <c r="D743" s="4" t="n">
        <v>28</v>
      </c>
      <c r="E743" s="4" t="inlineStr">
        <is>
          <t>reformado</t>
        </is>
      </c>
      <c r="F743" s="22" t="n">
        <v>151000</v>
      </c>
      <c r="G743" s="23" t="n">
        <v>5392.86</v>
      </c>
      <c r="H743" s="22" t="n"/>
      <c r="I743" s="23" t="n"/>
      <c r="J743" s="18" t="n"/>
      <c r="K743" s="24" t="n"/>
      <c r="L743" s="4" t="n">
        <v>1</v>
      </c>
      <c r="M743" s="4" t="inlineStr">
        <is>
          <t>sin muestra</t>
        </is>
      </c>
      <c r="N743" s="4" t="inlineStr">
        <is>
          <t>no valorable</t>
        </is>
      </c>
      <c r="O743" s="4" t="inlineStr">
        <is>
          <t>segmento con pocas operaciones comparables</t>
        </is>
      </c>
    </row>
    <row r="744">
      <c r="A744" s="4" t="inlineStr">
        <is>
          <t>MD-0300</t>
        </is>
      </c>
      <c r="B744" s="21" t="n">
        <v>46032</v>
      </c>
      <c r="C744" s="4" t="inlineStr">
        <is>
          <t>Centro</t>
        </is>
      </c>
      <c r="D744" s="4" t="n">
        <v>91</v>
      </c>
      <c r="E744" s="4" t="inlineStr">
        <is>
          <t>buen estado</t>
        </is>
      </c>
      <c r="F744" s="22" t="n">
        <v>808000</v>
      </c>
      <c r="G744" s="23" t="n">
        <v>8879.120000000001</v>
      </c>
      <c r="H744" s="22" t="n">
        <v>605825</v>
      </c>
      <c r="I744" s="23" t="n">
        <v>6657.41</v>
      </c>
      <c r="J744" s="18" t="n">
        <v>0.3337</v>
      </c>
      <c r="K744" s="24" t="n">
        <v>0</v>
      </c>
      <c r="L744" s="4" t="n">
        <v>11</v>
      </c>
      <c r="M744" s="4" t="inlineStr">
        <is>
          <t>media</t>
        </is>
      </c>
      <c r="N744" s="4" t="inlineStr">
        <is>
          <t>por encima de comparables</t>
        </is>
      </c>
      <c r="O744" s="4" t="n"/>
    </row>
    <row r="745">
      <c r="A745" s="4" t="inlineStr">
        <is>
          <t>MD-0414</t>
        </is>
      </c>
      <c r="B745" s="21" t="n">
        <v>46032</v>
      </c>
      <c r="C745" s="4" t="inlineStr">
        <is>
          <t>Puente de Vallecas</t>
        </is>
      </c>
      <c r="D745" s="4" t="n">
        <v>72</v>
      </c>
      <c r="E745" s="4" t="inlineStr">
        <is>
          <t>reformado</t>
        </is>
      </c>
      <c r="F745" s="22" t="n">
        <v>196000</v>
      </c>
      <c r="G745" s="23" t="n">
        <v>2722.22</v>
      </c>
      <c r="H745" s="22" t="n">
        <v>222889</v>
      </c>
      <c r="I745" s="23" t="n">
        <v>3095.68</v>
      </c>
      <c r="J745" s="18" t="n">
        <v>-0.1206</v>
      </c>
      <c r="K745" s="24" t="n">
        <v>80.2</v>
      </c>
      <c r="L745" s="4" t="n">
        <v>30</v>
      </c>
      <c r="M745" s="4" t="inlineStr">
        <is>
          <t>alta</t>
        </is>
      </c>
      <c r="N745" s="4" t="inlineStr">
        <is>
          <t>por debajo de comparables</t>
        </is>
      </c>
      <c r="O745" s="4" t="n"/>
    </row>
    <row r="746">
      <c r="A746" s="4" t="inlineStr">
        <is>
          <t>MD-1549</t>
        </is>
      </c>
      <c r="B746" s="21" t="n">
        <v>46032</v>
      </c>
      <c r="C746" s="4" t="inlineStr">
        <is>
          <t>Ciudad Lineal</t>
        </is>
      </c>
      <c r="D746" s="4" t="n">
        <v>86</v>
      </c>
      <c r="E746" s="4" t="inlineStr">
        <is>
          <t>buen estado</t>
        </is>
      </c>
      <c r="F746" s="22" t="n">
        <v>399000</v>
      </c>
      <c r="G746" s="23" t="n">
        <v>4639.53</v>
      </c>
      <c r="H746" s="22" t="n">
        <v>433559</v>
      </c>
      <c r="I746" s="23" t="n">
        <v>5041.39</v>
      </c>
      <c r="J746" s="18" t="n">
        <v>-0.07969999999999999</v>
      </c>
      <c r="K746" s="24" t="n">
        <v>69.90000000000001</v>
      </c>
      <c r="L746" s="4" t="n">
        <v>10</v>
      </c>
      <c r="M746" s="4" t="inlineStr">
        <is>
          <t>media</t>
        </is>
      </c>
      <c r="N746" s="4" t="inlineStr">
        <is>
          <t>en linea con comparables</t>
        </is>
      </c>
      <c r="O746" s="4" t="n"/>
    </row>
    <row r="747">
      <c r="A747" s="4" t="inlineStr">
        <is>
          <t>MD-0536</t>
        </is>
      </c>
      <c r="B747" s="21" t="n">
        <v>46032</v>
      </c>
      <c r="C747" s="4" t="inlineStr">
        <is>
          <t>Centro</t>
        </is>
      </c>
      <c r="D747" s="4" t="n">
        <v>178</v>
      </c>
      <c r="E747" s="4" t="inlineStr">
        <is>
          <t>reformado</t>
        </is>
      </c>
      <c r="F747" s="22" t="n">
        <v>1157000</v>
      </c>
      <c r="G747" s="23" t="n">
        <v>6500</v>
      </c>
      <c r="H747" s="22" t="n">
        <v>1090485</v>
      </c>
      <c r="I747" s="23" t="n">
        <v>6126.32</v>
      </c>
      <c r="J747" s="18" t="n">
        <v>0.061</v>
      </c>
      <c r="K747" s="24" t="n">
        <v>34.8</v>
      </c>
      <c r="L747" s="4" t="n">
        <v>5</v>
      </c>
      <c r="M747" s="4" t="inlineStr">
        <is>
          <t>baja</t>
        </is>
      </c>
      <c r="N747" s="4" t="inlineStr">
        <is>
          <t>en linea con comparables</t>
        </is>
      </c>
      <c r="O747" s="4" t="n"/>
    </row>
    <row r="748">
      <c r="A748" s="4" t="inlineStr">
        <is>
          <t>MD-0951</t>
        </is>
      </c>
      <c r="B748" s="21" t="n">
        <v>46032</v>
      </c>
      <c r="C748" s="4" t="inlineStr">
        <is>
          <t>Arganzuela</t>
        </is>
      </c>
      <c r="D748" s="4" t="n">
        <v>46</v>
      </c>
      <c r="E748" s="4" t="inlineStr">
        <is>
          <t>buen estado</t>
        </is>
      </c>
      <c r="F748" s="22" t="n">
        <v>240000</v>
      </c>
      <c r="G748" s="23" t="n">
        <v>5217.39</v>
      </c>
      <c r="H748" s="22" t="n">
        <v>214408</v>
      </c>
      <c r="I748" s="23" t="n">
        <v>4661.04</v>
      </c>
      <c r="J748" s="18" t="n">
        <v>0.1194</v>
      </c>
      <c r="K748" s="24" t="n">
        <v>20.2</v>
      </c>
      <c r="L748" s="4" t="n">
        <v>5</v>
      </c>
      <c r="M748" s="4" t="inlineStr">
        <is>
          <t>baja</t>
        </is>
      </c>
      <c r="N748" s="4" t="inlineStr">
        <is>
          <t>por encima de comparables</t>
        </is>
      </c>
      <c r="O748" s="4" t="n"/>
    </row>
    <row r="749">
      <c r="A749" s="4" t="inlineStr">
        <is>
          <t>MD-1267</t>
        </is>
      </c>
      <c r="B749" s="21" t="n">
        <v>46033</v>
      </c>
      <c r="C749" s="4" t="inlineStr">
        <is>
          <t>Salamanca</t>
        </is>
      </c>
      <c r="D749" s="4" t="n">
        <v>50</v>
      </c>
      <c r="E749" s="4" t="inlineStr">
        <is>
          <t>a reformar</t>
        </is>
      </c>
      <c r="F749" s="22" t="n">
        <v>211000</v>
      </c>
      <c r="G749" s="23" t="n">
        <v>4220</v>
      </c>
      <c r="H749" s="22" t="n">
        <v>340462</v>
      </c>
      <c r="I749" s="23" t="n">
        <v>6809.25</v>
      </c>
      <c r="J749" s="18" t="n">
        <v>-0.3803</v>
      </c>
      <c r="K749" s="24" t="n">
        <v>100</v>
      </c>
      <c r="L749" s="4" t="n">
        <v>11</v>
      </c>
      <c r="M749" s="4" t="inlineStr">
        <is>
          <t>media</t>
        </is>
      </c>
      <c r="N749" s="4" t="inlineStr">
        <is>
          <t>por debajo de comparables</t>
        </is>
      </c>
      <c r="O749" s="4" t="n"/>
    </row>
    <row r="750">
      <c r="A750" s="4" t="inlineStr">
        <is>
          <t>MD-0616</t>
        </is>
      </c>
      <c r="B750" s="21" t="n">
        <v>46033</v>
      </c>
      <c r="C750" s="4" t="inlineStr">
        <is>
          <t>Barajas</t>
        </is>
      </c>
      <c r="D750" s="4" t="n">
        <v>155</v>
      </c>
      <c r="E750" s="4" t="inlineStr">
        <is>
          <t>obra nueva</t>
        </is>
      </c>
      <c r="F750" s="22" t="n">
        <v>1470000</v>
      </c>
      <c r="G750" s="23" t="n">
        <v>9483.870000000001</v>
      </c>
      <c r="H750" s="22" t="n"/>
      <c r="I750" s="23" t="n"/>
      <c r="J750" s="18" t="n"/>
      <c r="K750" s="24" t="n"/>
      <c r="L750" s="4" t="n">
        <v>0</v>
      </c>
      <c r="M750" s="4" t="inlineStr">
        <is>
          <t>sin muestra</t>
        </is>
      </c>
      <c r="N750" s="4" t="inlineStr">
        <is>
          <t>no valorable</t>
        </is>
      </c>
      <c r="O750" s="4" t="inlineStr">
        <is>
          <t>segmento con pocas operaciones comparables</t>
        </is>
      </c>
    </row>
    <row r="751">
      <c r="A751" s="4" t="inlineStr">
        <is>
          <t>MD-0048</t>
        </is>
      </c>
      <c r="B751" s="21" t="n">
        <v>46033</v>
      </c>
      <c r="C751" s="4" t="inlineStr">
        <is>
          <t>Retiro</t>
        </is>
      </c>
      <c r="D751" s="4" t="n">
        <v>130</v>
      </c>
      <c r="E751" s="4" t="inlineStr">
        <is>
          <t>obra nueva</t>
        </is>
      </c>
      <c r="F751" s="22" t="n">
        <v>665000</v>
      </c>
      <c r="G751" s="23" t="n">
        <v>5115.38</v>
      </c>
      <c r="H751" s="22" t="n">
        <v>1029063</v>
      </c>
      <c r="I751" s="23" t="n">
        <v>7915.87</v>
      </c>
      <c r="J751" s="18" t="n">
        <v>-0.3538</v>
      </c>
      <c r="K751" s="24" t="n">
        <v>100</v>
      </c>
      <c r="L751" s="4" t="n">
        <v>10</v>
      </c>
      <c r="M751" s="4" t="inlineStr">
        <is>
          <t>media</t>
        </is>
      </c>
      <c r="N751" s="4" t="inlineStr">
        <is>
          <t>por debajo de comparables</t>
        </is>
      </c>
      <c r="O751" s="4" t="n"/>
    </row>
    <row r="752">
      <c r="A752" s="4" t="inlineStr">
        <is>
          <t>MD-0805</t>
        </is>
      </c>
      <c r="B752" s="21" t="n">
        <v>46033</v>
      </c>
      <c r="C752" s="4" t="inlineStr">
        <is>
          <t>Fuencarral-El Pardo</t>
        </is>
      </c>
      <c r="D752" s="4" t="n">
        <v>61</v>
      </c>
      <c r="E752" s="4" t="inlineStr">
        <is>
          <t>buen estado</t>
        </is>
      </c>
      <c r="F752" s="22" t="n">
        <v>294000</v>
      </c>
      <c r="G752" s="23" t="n">
        <v>4819.67</v>
      </c>
      <c r="H752" s="22" t="n">
        <v>312056</v>
      </c>
      <c r="I752" s="23" t="n">
        <v>5115.67</v>
      </c>
      <c r="J752" s="18" t="n">
        <v>-0.0579</v>
      </c>
      <c r="K752" s="24" t="n">
        <v>64.5</v>
      </c>
      <c r="L752" s="4" t="n">
        <v>10</v>
      </c>
      <c r="M752" s="4" t="inlineStr">
        <is>
          <t>media</t>
        </is>
      </c>
      <c r="N752" s="4" t="inlineStr">
        <is>
          <t>en linea con comparables</t>
        </is>
      </c>
      <c r="O752" s="4" t="n"/>
    </row>
    <row r="753">
      <c r="A753" s="4" t="inlineStr">
        <is>
          <t>MD-1385</t>
        </is>
      </c>
      <c r="B753" s="21" t="n">
        <v>46033</v>
      </c>
      <c r="C753" s="4" t="inlineStr">
        <is>
          <t>Centro</t>
        </is>
      </c>
      <c r="D753" s="4" t="n">
        <v>43</v>
      </c>
      <c r="E753" s="4" t="inlineStr">
        <is>
          <t>a reformar</t>
        </is>
      </c>
      <c r="F753" s="22" t="n">
        <v>226000</v>
      </c>
      <c r="G753" s="23" t="n">
        <v>5255.81</v>
      </c>
      <c r="H753" s="22" t="n">
        <v>230180</v>
      </c>
      <c r="I753" s="23" t="n">
        <v>5353.01</v>
      </c>
      <c r="J753" s="18" t="n">
        <v>-0.0182</v>
      </c>
      <c r="K753" s="24" t="n">
        <v>54.5</v>
      </c>
      <c r="L753" s="4" t="n">
        <v>8</v>
      </c>
      <c r="M753" s="4" t="inlineStr">
        <is>
          <t>media</t>
        </is>
      </c>
      <c r="N753" s="4" t="inlineStr">
        <is>
          <t>en linea con comparables</t>
        </is>
      </c>
      <c r="O753" s="4" t="n"/>
    </row>
    <row r="754">
      <c r="A754" s="4" t="inlineStr">
        <is>
          <t>MD-0897</t>
        </is>
      </c>
      <c r="B754" s="21" t="n">
        <v>46033</v>
      </c>
      <c r="C754" s="4" t="inlineStr">
        <is>
          <t>Villa de Vallecas</t>
        </is>
      </c>
      <c r="D754" s="4" t="n">
        <v>83</v>
      </c>
      <c r="E754" s="4" t="inlineStr">
        <is>
          <t>buen estado</t>
        </is>
      </c>
      <c r="F754" s="22" t="n">
        <v>236000</v>
      </c>
      <c r="G754" s="23" t="n">
        <v>2843.37</v>
      </c>
      <c r="H754" s="22" t="n">
        <v>267717</v>
      </c>
      <c r="I754" s="23" t="n">
        <v>3225.51</v>
      </c>
      <c r="J754" s="18" t="n">
        <v>-0.1185</v>
      </c>
      <c r="K754" s="24" t="n">
        <v>79.59999999999999</v>
      </c>
      <c r="L754" s="4" t="n">
        <v>8</v>
      </c>
      <c r="M754" s="4" t="inlineStr">
        <is>
          <t>media</t>
        </is>
      </c>
      <c r="N754" s="4" t="inlineStr">
        <is>
          <t>por debajo de comparables</t>
        </is>
      </c>
      <c r="O754" s="4" t="n"/>
    </row>
    <row r="755">
      <c r="A755" s="4" t="inlineStr">
        <is>
          <t>MD-0544</t>
        </is>
      </c>
      <c r="B755" s="21" t="n">
        <v>46034</v>
      </c>
      <c r="C755" s="4" t="inlineStr">
        <is>
          <t>Puente de Vallecas</t>
        </is>
      </c>
      <c r="D755" s="4" t="n">
        <v>152</v>
      </c>
      <c r="E755" s="4" t="inlineStr">
        <is>
          <t>buen estado</t>
        </is>
      </c>
      <c r="F755" s="22" t="n">
        <v>440000</v>
      </c>
      <c r="G755" s="23" t="n">
        <v>2894.74</v>
      </c>
      <c r="H755" s="22" t="n"/>
      <c r="I755" s="23" t="n"/>
      <c r="J755" s="18" t="n"/>
      <c r="K755" s="24" t="n"/>
      <c r="L755" s="4" t="n">
        <v>4</v>
      </c>
      <c r="M755" s="4" t="inlineStr">
        <is>
          <t>sin muestra</t>
        </is>
      </c>
      <c r="N755" s="4" t="inlineStr">
        <is>
          <t>no valorable</t>
        </is>
      </c>
      <c r="O755" s="4" t="inlineStr">
        <is>
          <t>segmento con pocas operaciones comparables</t>
        </is>
      </c>
    </row>
    <row r="756">
      <c r="A756" s="4" t="inlineStr">
        <is>
          <t>MD-0515</t>
        </is>
      </c>
      <c r="B756" s="21" t="n">
        <v>46034</v>
      </c>
      <c r="C756" s="4" t="inlineStr">
        <is>
          <t>Tetuan</t>
        </is>
      </c>
      <c r="D756" s="4" t="n">
        <v>37</v>
      </c>
      <c r="E756" s="4" t="inlineStr">
        <is>
          <t>buen estado</t>
        </is>
      </c>
      <c r="F756" s="22" t="n">
        <v>217000</v>
      </c>
      <c r="G756" s="23" t="n">
        <v>5864.86</v>
      </c>
      <c r="H756" s="22" t="n"/>
      <c r="I756" s="23" t="n"/>
      <c r="J756" s="18" t="n"/>
      <c r="K756" s="24" t="n"/>
      <c r="L756" s="4" t="n">
        <v>4</v>
      </c>
      <c r="M756" s="4" t="inlineStr">
        <is>
          <t>sin muestra</t>
        </is>
      </c>
      <c r="N756" s="4" t="inlineStr">
        <is>
          <t>no valorable</t>
        </is>
      </c>
      <c r="O756" s="4" t="inlineStr">
        <is>
          <t>segmento con pocas operaciones comparables</t>
        </is>
      </c>
    </row>
    <row r="757">
      <c r="A757" s="4" t="inlineStr">
        <is>
          <t>MD-0235</t>
        </is>
      </c>
      <c r="B757" s="21" t="n">
        <v>46034</v>
      </c>
      <c r="C757" s="4" t="inlineStr">
        <is>
          <t>Hortaleza</t>
        </is>
      </c>
      <c r="D757" s="4" t="n">
        <v>62</v>
      </c>
      <c r="E757" s="4" t="inlineStr">
        <is>
          <t>reformado</t>
        </is>
      </c>
      <c r="F757" s="22" t="n">
        <v>340000</v>
      </c>
      <c r="G757" s="23" t="n">
        <v>5483.87</v>
      </c>
      <c r="H757" s="22" t="n">
        <v>321966</v>
      </c>
      <c r="I757" s="23" t="n">
        <v>5193</v>
      </c>
      <c r="J757" s="18" t="n">
        <v>0.056</v>
      </c>
      <c r="K757" s="24" t="n">
        <v>36</v>
      </c>
      <c r="L757" s="4" t="n">
        <v>9</v>
      </c>
      <c r="M757" s="4" t="inlineStr">
        <is>
          <t>media</t>
        </is>
      </c>
      <c r="N757" s="4" t="inlineStr">
        <is>
          <t>en linea con comparables</t>
        </is>
      </c>
      <c r="O757" s="4" t="n"/>
    </row>
    <row r="758">
      <c r="A758" s="4" t="inlineStr">
        <is>
          <t>MD-1499</t>
        </is>
      </c>
      <c r="B758" s="21" t="n">
        <v>46034</v>
      </c>
      <c r="C758" s="4" t="inlineStr">
        <is>
          <t>Puente de Vallecas</t>
        </is>
      </c>
      <c r="D758" s="4" t="n">
        <v>28</v>
      </c>
      <c r="E758" s="4" t="inlineStr">
        <is>
          <t>buen estado</t>
        </is>
      </c>
      <c r="F758" s="22" t="n">
        <v>101000</v>
      </c>
      <c r="G758" s="23" t="n">
        <v>3607.14</v>
      </c>
      <c r="H758" s="22" t="n"/>
      <c r="I758" s="23" t="n"/>
      <c r="J758" s="18" t="n"/>
      <c r="K758" s="24" t="n"/>
      <c r="L758" s="4" t="n">
        <v>4</v>
      </c>
      <c r="M758" s="4" t="inlineStr">
        <is>
          <t>sin muestra</t>
        </is>
      </c>
      <c r="N758" s="4" t="inlineStr">
        <is>
          <t>no valorable</t>
        </is>
      </c>
      <c r="O758" s="4" t="inlineStr">
        <is>
          <t>segmento con pocas operaciones comparables</t>
        </is>
      </c>
    </row>
    <row r="759">
      <c r="A759" s="4" t="inlineStr">
        <is>
          <t>MD-1199</t>
        </is>
      </c>
      <c r="B759" s="21" t="n">
        <v>46034</v>
      </c>
      <c r="C759" s="4" t="inlineStr">
        <is>
          <t>Villaverde</t>
        </is>
      </c>
      <c r="D759" s="4" t="n">
        <v>77</v>
      </c>
      <c r="E759" s="4" t="inlineStr">
        <is>
          <t>reformado</t>
        </is>
      </c>
      <c r="F759" s="22" t="n">
        <v>186000</v>
      </c>
      <c r="G759" s="23" t="n">
        <v>2415.58</v>
      </c>
      <c r="H759" s="22" t="n"/>
      <c r="I759" s="23" t="n"/>
      <c r="J759" s="18" t="n"/>
      <c r="K759" s="24" t="n"/>
      <c r="L759" s="4" t="n">
        <v>3</v>
      </c>
      <c r="M759" s="4" t="inlineStr">
        <is>
          <t>sin muestra</t>
        </is>
      </c>
      <c r="N759" s="4" t="inlineStr">
        <is>
          <t>no valorable</t>
        </is>
      </c>
      <c r="O759" s="4" t="inlineStr">
        <is>
          <t>segmento con pocas operaciones comparables</t>
        </is>
      </c>
    </row>
    <row r="760">
      <c r="A760" s="4" t="inlineStr">
        <is>
          <t>MD-0535</t>
        </is>
      </c>
      <c r="B760" s="21" t="n">
        <v>46034</v>
      </c>
      <c r="C760" s="4" t="inlineStr">
        <is>
          <t>Ciudad Lineal</t>
        </is>
      </c>
      <c r="D760" s="4" t="n">
        <v>140</v>
      </c>
      <c r="E760" s="4" t="inlineStr">
        <is>
          <t>a reformar</t>
        </is>
      </c>
      <c r="F760" s="22" t="n">
        <v>463000</v>
      </c>
      <c r="G760" s="23" t="n">
        <v>3307.14</v>
      </c>
      <c r="H760" s="22" t="n"/>
      <c r="I760" s="23" t="n"/>
      <c r="J760" s="18" t="n"/>
      <c r="K760" s="24" t="n"/>
      <c r="L760" s="4" t="n">
        <v>2</v>
      </c>
      <c r="M760" s="4" t="inlineStr">
        <is>
          <t>sin muestra</t>
        </is>
      </c>
      <c r="N760" s="4" t="inlineStr">
        <is>
          <t>no valorable</t>
        </is>
      </c>
      <c r="O760" s="4" t="inlineStr">
        <is>
          <t>segmento con pocas operaciones comparables</t>
        </is>
      </c>
    </row>
    <row r="761">
      <c r="A761" s="4" t="inlineStr">
        <is>
          <t>MD-0860</t>
        </is>
      </c>
      <c r="B761" s="21" t="n">
        <v>46034</v>
      </c>
      <c r="C761" s="4" t="inlineStr">
        <is>
          <t>Hortaleza</t>
        </is>
      </c>
      <c r="D761" s="4" t="n">
        <v>74</v>
      </c>
      <c r="E761" s="4" t="inlineStr">
        <is>
          <t>buen estado</t>
        </is>
      </c>
      <c r="F761" s="22" t="n">
        <v>462000</v>
      </c>
      <c r="G761" s="23" t="n">
        <v>6243.24</v>
      </c>
      <c r="H761" s="22" t="n">
        <v>388715</v>
      </c>
      <c r="I761" s="23" t="n">
        <v>5252.91</v>
      </c>
      <c r="J761" s="18" t="n">
        <v>0.1885</v>
      </c>
      <c r="K761" s="24" t="n">
        <v>2.9</v>
      </c>
      <c r="L761" s="4" t="n">
        <v>12</v>
      </c>
      <c r="M761" s="4" t="inlineStr">
        <is>
          <t>media</t>
        </is>
      </c>
      <c r="N761" s="4" t="inlineStr">
        <is>
          <t>por encima de comparables</t>
        </is>
      </c>
      <c r="O761" s="4" t="n"/>
    </row>
    <row r="762">
      <c r="A762" s="4" t="inlineStr">
        <is>
          <t>MD-1372</t>
        </is>
      </c>
      <c r="B762" s="21" t="n">
        <v>46034</v>
      </c>
      <c r="C762" s="4" t="inlineStr">
        <is>
          <t>Hortaleza</t>
        </is>
      </c>
      <c r="D762" s="4" t="n">
        <v>168</v>
      </c>
      <c r="E762" s="4" t="inlineStr">
        <is>
          <t>a reformar</t>
        </is>
      </c>
      <c r="F762" s="22" t="n">
        <v>521000</v>
      </c>
      <c r="G762" s="23" t="n">
        <v>3101.19</v>
      </c>
      <c r="H762" s="22" t="n">
        <v>592468</v>
      </c>
      <c r="I762" s="23" t="n">
        <v>3526.59</v>
      </c>
      <c r="J762" s="18" t="n">
        <v>-0.1206</v>
      </c>
      <c r="K762" s="24" t="n">
        <v>80.2</v>
      </c>
      <c r="L762" s="4" t="n">
        <v>16</v>
      </c>
      <c r="M762" s="4" t="inlineStr">
        <is>
          <t>media</t>
        </is>
      </c>
      <c r="N762" s="4" t="inlineStr">
        <is>
          <t>por debajo de comparables</t>
        </is>
      </c>
      <c r="O762" s="4" t="n"/>
    </row>
    <row r="763">
      <c r="A763" s="4" t="inlineStr">
        <is>
          <t>MD-0368</t>
        </is>
      </c>
      <c r="B763" s="21" t="n">
        <v>46035</v>
      </c>
      <c r="C763" s="4" t="inlineStr">
        <is>
          <t>Vicalvaro</t>
        </is>
      </c>
      <c r="D763" s="4" t="n">
        <v>100</v>
      </c>
      <c r="E763" s="4" t="inlineStr">
        <is>
          <t>a reformar</t>
        </is>
      </c>
      <c r="F763" s="22" t="n">
        <v>213000</v>
      </c>
      <c r="G763" s="23" t="n">
        <v>2130</v>
      </c>
      <c r="H763" s="22" t="n">
        <v>266306</v>
      </c>
      <c r="I763" s="23" t="n">
        <v>2663.06</v>
      </c>
      <c r="J763" s="18" t="n">
        <v>-0.2002</v>
      </c>
      <c r="K763" s="24" t="n">
        <v>100</v>
      </c>
      <c r="L763" s="4" t="n">
        <v>11</v>
      </c>
      <c r="M763" s="4" t="inlineStr">
        <is>
          <t>media</t>
        </is>
      </c>
      <c r="N763" s="4" t="inlineStr">
        <is>
          <t>por debajo de comparables</t>
        </is>
      </c>
      <c r="O763" s="4" t="n"/>
    </row>
    <row r="764">
      <c r="A764" s="4" t="inlineStr">
        <is>
          <t>MD-0011</t>
        </is>
      </c>
      <c r="B764" s="21" t="n">
        <v>46035</v>
      </c>
      <c r="C764" s="4" t="inlineStr">
        <is>
          <t>Puente de Vallecas</t>
        </is>
      </c>
      <c r="D764" s="4" t="n">
        <v>55</v>
      </c>
      <c r="E764" s="4" t="inlineStr">
        <is>
          <t>buen estado</t>
        </is>
      </c>
      <c r="F764" s="22" t="n">
        <v>201000</v>
      </c>
      <c r="G764" s="23" t="n">
        <v>3654.55</v>
      </c>
      <c r="H764" s="22" t="n">
        <v>154950</v>
      </c>
      <c r="I764" s="23" t="n">
        <v>2817.27</v>
      </c>
      <c r="J764" s="18" t="n">
        <v>0.2972</v>
      </c>
      <c r="K764" s="24" t="n">
        <v>0</v>
      </c>
      <c r="L764" s="4" t="n">
        <v>26</v>
      </c>
      <c r="M764" s="4" t="inlineStr">
        <is>
          <t>alta</t>
        </is>
      </c>
      <c r="N764" s="4" t="inlineStr">
        <is>
          <t>por encima de comparables</t>
        </is>
      </c>
      <c r="O764" s="4" t="n"/>
    </row>
    <row r="765">
      <c r="A765" s="4" t="inlineStr">
        <is>
          <t>MD-1788</t>
        </is>
      </c>
      <c r="B765" s="21" t="n">
        <v>46035</v>
      </c>
      <c r="C765" s="4" t="inlineStr">
        <is>
          <t>Carabanchel</t>
        </is>
      </c>
      <c r="D765" s="4" t="n">
        <v>88</v>
      </c>
      <c r="E765" s="4" t="inlineStr">
        <is>
          <t>buen estado</t>
        </is>
      </c>
      <c r="F765" s="22" t="n">
        <v>211000</v>
      </c>
      <c r="G765" s="23" t="n">
        <v>2397.73</v>
      </c>
      <c r="H765" s="22" t="n">
        <v>288306</v>
      </c>
      <c r="I765" s="23" t="n">
        <v>3276.21</v>
      </c>
      <c r="J765" s="18" t="n">
        <v>-0.2681</v>
      </c>
      <c r="K765" s="24" t="n">
        <v>100</v>
      </c>
      <c r="L765" s="4" t="n">
        <v>14</v>
      </c>
      <c r="M765" s="4" t="inlineStr">
        <is>
          <t>media</t>
        </is>
      </c>
      <c r="N765" s="4" t="inlineStr">
        <is>
          <t>por debajo de comparables</t>
        </is>
      </c>
      <c r="O765" s="4" t="n"/>
    </row>
    <row r="766">
      <c r="A766" s="4" t="inlineStr">
        <is>
          <t>MD-1255</t>
        </is>
      </c>
      <c r="B766" s="21" t="n">
        <v>46035</v>
      </c>
      <c r="C766" s="4" t="inlineStr">
        <is>
          <t>Puente de Vallecas</t>
        </is>
      </c>
      <c r="D766" s="4" t="n">
        <v>52</v>
      </c>
      <c r="E766" s="4" t="inlineStr">
        <is>
          <t>buen estado</t>
        </is>
      </c>
      <c r="F766" s="22" t="n">
        <v>119000</v>
      </c>
      <c r="G766" s="23" t="n">
        <v>2288.46</v>
      </c>
      <c r="H766" s="22" t="n">
        <v>130619</v>
      </c>
      <c r="I766" s="23" t="n">
        <v>2511.9</v>
      </c>
      <c r="J766" s="18" t="n">
        <v>-0.089</v>
      </c>
      <c r="K766" s="24" t="n">
        <v>72.2</v>
      </c>
      <c r="L766" s="4" t="n">
        <v>26</v>
      </c>
      <c r="M766" s="4" t="inlineStr">
        <is>
          <t>alta</t>
        </is>
      </c>
      <c r="N766" s="4" t="inlineStr">
        <is>
          <t>en linea con comparables</t>
        </is>
      </c>
      <c r="O766" s="4" t="n"/>
    </row>
    <row r="767">
      <c r="A767" s="4" t="inlineStr">
        <is>
          <t>MD-0445</t>
        </is>
      </c>
      <c r="B767" s="21" t="n">
        <v>46035</v>
      </c>
      <c r="C767" s="4" t="inlineStr">
        <is>
          <t>Villa de Vallecas</t>
        </is>
      </c>
      <c r="D767" s="4" t="n">
        <v>47</v>
      </c>
      <c r="E767" s="4" t="inlineStr">
        <is>
          <t>a reformar</t>
        </is>
      </c>
      <c r="F767" s="22" t="n">
        <v>177000</v>
      </c>
      <c r="G767" s="23" t="n">
        <v>3765.96</v>
      </c>
      <c r="H767" s="22" t="n">
        <v>137684</v>
      </c>
      <c r="I767" s="23" t="n">
        <v>2929.44</v>
      </c>
      <c r="J767" s="18" t="n">
        <v>0.2856</v>
      </c>
      <c r="K767" s="24" t="n">
        <v>0</v>
      </c>
      <c r="L767" s="4" t="n">
        <v>5</v>
      </c>
      <c r="M767" s="4" t="inlineStr">
        <is>
          <t>baja</t>
        </is>
      </c>
      <c r="N767" s="4" t="inlineStr">
        <is>
          <t>por encima de comparables</t>
        </is>
      </c>
      <c r="O767" s="4" t="n"/>
    </row>
    <row r="768">
      <c r="A768" s="4" t="inlineStr">
        <is>
          <t>MD-0067</t>
        </is>
      </c>
      <c r="B768" s="21" t="n">
        <v>46035</v>
      </c>
      <c r="C768" s="4" t="inlineStr">
        <is>
          <t>Fuencarral-El Pardo</t>
        </is>
      </c>
      <c r="D768" s="4" t="n">
        <v>64</v>
      </c>
      <c r="E768" s="4" t="inlineStr">
        <is>
          <t>reformado</t>
        </is>
      </c>
      <c r="F768" s="22" t="n">
        <v>391000</v>
      </c>
      <c r="G768" s="23" t="n">
        <v>6109.38</v>
      </c>
      <c r="H768" s="22" t="n">
        <v>300144</v>
      </c>
      <c r="I768" s="23" t="n">
        <v>4689.75</v>
      </c>
      <c r="J768" s="18" t="n">
        <v>0.3027</v>
      </c>
      <c r="K768" s="24" t="n">
        <v>0</v>
      </c>
      <c r="L768" s="4" t="n">
        <v>10</v>
      </c>
      <c r="M768" s="4" t="inlineStr">
        <is>
          <t>media</t>
        </is>
      </c>
      <c r="N768" s="4" t="inlineStr">
        <is>
          <t>por encima de comparables</t>
        </is>
      </c>
      <c r="O768" s="4" t="n"/>
    </row>
    <row r="769">
      <c r="A769" s="4" t="inlineStr">
        <is>
          <t>MD-1075</t>
        </is>
      </c>
      <c r="B769" s="21" t="n">
        <v>46035</v>
      </c>
      <c r="C769" s="4" t="inlineStr">
        <is>
          <t>Puente de Vallecas</t>
        </is>
      </c>
      <c r="D769" s="4" t="n">
        <v>102</v>
      </c>
      <c r="E769" s="4" t="inlineStr">
        <is>
          <t>reformado</t>
        </is>
      </c>
      <c r="F769" s="22" t="n">
        <v>281000</v>
      </c>
      <c r="G769" s="23" t="n">
        <v>2754.9</v>
      </c>
      <c r="H769" s="22" t="n">
        <v>300927</v>
      </c>
      <c r="I769" s="23" t="n">
        <v>2950.27</v>
      </c>
      <c r="J769" s="18" t="n">
        <v>-0.06619999999999999</v>
      </c>
      <c r="K769" s="24" t="n">
        <v>66.59999999999999</v>
      </c>
      <c r="L769" s="4" t="n">
        <v>10</v>
      </c>
      <c r="M769" s="4" t="inlineStr">
        <is>
          <t>media</t>
        </is>
      </c>
      <c r="N769" s="4" t="inlineStr">
        <is>
          <t>en linea con comparables</t>
        </is>
      </c>
      <c r="O769" s="4" t="n"/>
    </row>
    <row r="770">
      <c r="A770" s="4" t="inlineStr">
        <is>
          <t>MD-0713</t>
        </is>
      </c>
      <c r="B770" s="21" t="n">
        <v>46036</v>
      </c>
      <c r="C770" s="4" t="inlineStr">
        <is>
          <t>Puente de Vallecas</t>
        </is>
      </c>
      <c r="D770" s="4" t="n">
        <v>69</v>
      </c>
      <c r="E770" s="4" t="inlineStr">
        <is>
          <t>buen estado</t>
        </is>
      </c>
      <c r="F770" s="22" t="n">
        <v>234000</v>
      </c>
      <c r="G770" s="23" t="n">
        <v>3391.3</v>
      </c>
      <c r="H770" s="22" t="n">
        <v>198282</v>
      </c>
      <c r="I770" s="23" t="n">
        <v>2873.66</v>
      </c>
      <c r="J770" s="18" t="n">
        <v>0.1801</v>
      </c>
      <c r="K770" s="24" t="n">
        <v>5</v>
      </c>
      <c r="L770" s="4" t="n">
        <v>29</v>
      </c>
      <c r="M770" s="4" t="inlineStr">
        <is>
          <t>alta</t>
        </is>
      </c>
      <c r="N770" s="4" t="inlineStr">
        <is>
          <t>por encima de comparables</t>
        </is>
      </c>
      <c r="O770" s="4" t="n"/>
    </row>
    <row r="771">
      <c r="A771" s="4" t="inlineStr">
        <is>
          <t>MD-0109</t>
        </is>
      </c>
      <c r="B771" s="21" t="n">
        <v>46036</v>
      </c>
      <c r="C771" s="4" t="inlineStr">
        <is>
          <t>Vicalvaro</t>
        </is>
      </c>
      <c r="D771" s="4" t="n">
        <v>161</v>
      </c>
      <c r="E771" s="4" t="inlineStr">
        <is>
          <t>obra nueva</t>
        </is>
      </c>
      <c r="F771" s="22" t="n">
        <v>563000</v>
      </c>
      <c r="G771" s="23" t="n">
        <v>3496.89</v>
      </c>
      <c r="H771" s="22" t="n">
        <v>585866</v>
      </c>
      <c r="I771" s="23" t="n">
        <v>3638.92</v>
      </c>
      <c r="J771" s="18" t="n">
        <v>-0.039</v>
      </c>
      <c r="K771" s="24" t="n">
        <v>59.8</v>
      </c>
      <c r="L771" s="4" t="n">
        <v>8</v>
      </c>
      <c r="M771" s="4" t="inlineStr">
        <is>
          <t>media</t>
        </is>
      </c>
      <c r="N771" s="4" t="inlineStr">
        <is>
          <t>en linea con comparables</t>
        </is>
      </c>
      <c r="O771" s="4" t="n"/>
    </row>
    <row r="772">
      <c r="A772" s="4" t="inlineStr">
        <is>
          <t>MD-1925</t>
        </is>
      </c>
      <c r="B772" s="21" t="n">
        <v>46036</v>
      </c>
      <c r="C772" s="4" t="inlineStr">
        <is>
          <t>Fuencarral-El Pardo</t>
        </is>
      </c>
      <c r="D772" s="4" t="n">
        <v>40</v>
      </c>
      <c r="E772" s="4" t="inlineStr">
        <is>
          <t>buen estado</t>
        </is>
      </c>
      <c r="F772" s="22" t="n">
        <v>235000</v>
      </c>
      <c r="G772" s="23" t="n">
        <v>5875</v>
      </c>
      <c r="H772" s="22" t="n">
        <v>241460</v>
      </c>
      <c r="I772" s="23" t="n">
        <v>6036.51</v>
      </c>
      <c r="J772" s="18" t="n">
        <v>-0.0268</v>
      </c>
      <c r="K772" s="24" t="n">
        <v>56.7</v>
      </c>
      <c r="L772" s="4" t="n">
        <v>9</v>
      </c>
      <c r="M772" s="4" t="inlineStr">
        <is>
          <t>media</t>
        </is>
      </c>
      <c r="N772" s="4" t="inlineStr">
        <is>
          <t>en linea con comparables</t>
        </is>
      </c>
      <c r="O772" s="4" t="n"/>
    </row>
    <row r="773">
      <c r="A773" s="4" t="inlineStr">
        <is>
          <t>MD-0089</t>
        </is>
      </c>
      <c r="B773" s="21" t="n">
        <v>46036</v>
      </c>
      <c r="C773" s="4" t="inlineStr">
        <is>
          <t>Latina</t>
        </is>
      </c>
      <c r="D773" s="4" t="n">
        <v>64</v>
      </c>
      <c r="E773" s="4" t="inlineStr">
        <is>
          <t>buen estado</t>
        </is>
      </c>
      <c r="F773" s="22" t="n">
        <v>213000</v>
      </c>
      <c r="G773" s="23" t="n">
        <v>3328.12</v>
      </c>
      <c r="H773" s="22" t="n">
        <v>184957</v>
      </c>
      <c r="I773" s="23" t="n">
        <v>2889.95</v>
      </c>
      <c r="J773" s="18" t="n">
        <v>0.1516</v>
      </c>
      <c r="K773" s="24" t="n">
        <v>12.1</v>
      </c>
      <c r="L773" s="4" t="n">
        <v>23</v>
      </c>
      <c r="M773" s="4" t="inlineStr">
        <is>
          <t>media</t>
        </is>
      </c>
      <c r="N773" s="4" t="inlineStr">
        <is>
          <t>por encima de comparables</t>
        </is>
      </c>
      <c r="O773" s="4" t="n"/>
    </row>
    <row r="774">
      <c r="A774" s="4" t="inlineStr">
        <is>
          <t>MD-0690</t>
        </is>
      </c>
      <c r="B774" s="21" t="n">
        <v>46036</v>
      </c>
      <c r="C774" s="4" t="inlineStr">
        <is>
          <t>Puente de Vallecas</t>
        </is>
      </c>
      <c r="D774" s="4" t="n">
        <v>51</v>
      </c>
      <c r="E774" s="4" t="inlineStr">
        <is>
          <t>reformado</t>
        </is>
      </c>
      <c r="F774" s="22" t="n">
        <v>122000</v>
      </c>
      <c r="G774" s="23" t="n">
        <v>2392.16</v>
      </c>
      <c r="H774" s="22" t="n">
        <v>138372</v>
      </c>
      <c r="I774" s="23" t="n">
        <v>2713.17</v>
      </c>
      <c r="J774" s="18" t="n">
        <v>-0.1183</v>
      </c>
      <c r="K774" s="24" t="n">
        <v>79.59999999999999</v>
      </c>
      <c r="L774" s="4" t="n">
        <v>24</v>
      </c>
      <c r="M774" s="4" t="inlineStr">
        <is>
          <t>alta</t>
        </is>
      </c>
      <c r="N774" s="4" t="inlineStr">
        <is>
          <t>por debajo de comparables</t>
        </is>
      </c>
      <c r="O774" s="4" t="n"/>
    </row>
    <row r="775">
      <c r="A775" s="4" t="inlineStr">
        <is>
          <t>MD-0124</t>
        </is>
      </c>
      <c r="B775" s="21" t="n">
        <v>46036</v>
      </c>
      <c r="C775" s="4" t="inlineStr">
        <is>
          <t>Salamanca</t>
        </is>
      </c>
      <c r="D775" s="4" t="n">
        <v>74</v>
      </c>
      <c r="E775" s="4" t="inlineStr">
        <is>
          <t>a reformar</t>
        </is>
      </c>
      <c r="F775" s="22" t="n">
        <v>646000</v>
      </c>
      <c r="G775" s="23" t="n">
        <v>8729.73</v>
      </c>
      <c r="H775" s="22" t="n">
        <v>509850</v>
      </c>
      <c r="I775" s="23" t="n">
        <v>6889.86</v>
      </c>
      <c r="J775" s="18" t="n">
        <v>0.267</v>
      </c>
      <c r="K775" s="24" t="n">
        <v>0</v>
      </c>
      <c r="L775" s="4" t="n">
        <v>10</v>
      </c>
      <c r="M775" s="4" t="inlineStr">
        <is>
          <t>media</t>
        </is>
      </c>
      <c r="N775" s="4" t="inlineStr">
        <is>
          <t>por encima de comparables</t>
        </is>
      </c>
      <c r="O775" s="4" t="n"/>
    </row>
    <row r="776">
      <c r="A776" s="4" t="inlineStr">
        <is>
          <t>MD-0434</t>
        </is>
      </c>
      <c r="B776" s="21" t="n">
        <v>46036</v>
      </c>
      <c r="C776" s="4" t="inlineStr">
        <is>
          <t>Hortaleza</t>
        </is>
      </c>
      <c r="D776" s="4" t="n">
        <v>115</v>
      </c>
      <c r="E776" s="4" t="inlineStr">
        <is>
          <t>reformado</t>
        </is>
      </c>
      <c r="F776" s="22" t="n">
        <v>687000</v>
      </c>
      <c r="G776" s="23" t="n">
        <v>5973.91</v>
      </c>
      <c r="H776" s="22" t="n">
        <v>576546</v>
      </c>
      <c r="I776" s="23" t="n">
        <v>5013.44</v>
      </c>
      <c r="J776" s="18" t="n">
        <v>0.1916</v>
      </c>
      <c r="K776" s="24" t="n">
        <v>2.1</v>
      </c>
      <c r="L776" s="4" t="n">
        <v>15</v>
      </c>
      <c r="M776" s="4" t="inlineStr">
        <is>
          <t>alta</t>
        </is>
      </c>
      <c r="N776" s="4" t="inlineStr">
        <is>
          <t>por encima de comparables</t>
        </is>
      </c>
      <c r="O776" s="4" t="n"/>
    </row>
    <row r="777">
      <c r="A777" s="4" t="inlineStr">
        <is>
          <t>MD-1717</t>
        </is>
      </c>
      <c r="B777" s="21" t="n">
        <v>46036</v>
      </c>
      <c r="C777" s="4" t="inlineStr">
        <is>
          <t>Ciudad Lineal</t>
        </is>
      </c>
      <c r="D777" s="4" t="n">
        <v>70</v>
      </c>
      <c r="E777" s="4" t="inlineStr">
        <is>
          <t>reformado</t>
        </is>
      </c>
      <c r="F777" s="22" t="n">
        <v>392000</v>
      </c>
      <c r="G777" s="23" t="n">
        <v>5600</v>
      </c>
      <c r="H777" s="22" t="n">
        <v>426025</v>
      </c>
      <c r="I777" s="23" t="n">
        <v>6086.07</v>
      </c>
      <c r="J777" s="18" t="n">
        <v>-0.0799</v>
      </c>
      <c r="K777" s="24" t="n">
        <v>70</v>
      </c>
      <c r="L777" s="4" t="n">
        <v>18</v>
      </c>
      <c r="M777" s="4" t="inlineStr">
        <is>
          <t>alta</t>
        </is>
      </c>
      <c r="N777" s="4" t="inlineStr">
        <is>
          <t>en linea con comparables</t>
        </is>
      </c>
      <c r="O777" s="4" t="n"/>
    </row>
    <row r="778">
      <c r="A778" s="4" t="inlineStr">
        <is>
          <t>MD-1138</t>
        </is>
      </c>
      <c r="B778" s="21" t="n">
        <v>46037</v>
      </c>
      <c r="C778" s="4" t="inlineStr">
        <is>
          <t>Centro</t>
        </is>
      </c>
      <c r="D778" s="4" t="n">
        <v>33</v>
      </c>
      <c r="E778" s="4" t="inlineStr">
        <is>
          <t>buen estado</t>
        </is>
      </c>
      <c r="F778" s="22" t="n">
        <v>308000</v>
      </c>
      <c r="G778" s="23" t="n">
        <v>9333.33</v>
      </c>
      <c r="H778" s="22" t="n">
        <v>283761</v>
      </c>
      <c r="I778" s="23" t="n">
        <v>8598.809999999999</v>
      </c>
      <c r="J778" s="18" t="n">
        <v>0.0854</v>
      </c>
      <c r="K778" s="24" t="n">
        <v>28.6</v>
      </c>
      <c r="L778" s="4" t="n">
        <v>11</v>
      </c>
      <c r="M778" s="4" t="inlineStr">
        <is>
          <t>media</t>
        </is>
      </c>
      <c r="N778" s="4" t="inlineStr">
        <is>
          <t>en linea con comparables</t>
        </is>
      </c>
      <c r="O778" s="4" t="n"/>
    </row>
    <row r="779">
      <c r="A779" s="4" t="inlineStr">
        <is>
          <t>MD-1495</t>
        </is>
      </c>
      <c r="B779" s="21" t="n">
        <v>46037</v>
      </c>
      <c r="C779" s="4" t="inlineStr">
        <is>
          <t>Chamartin</t>
        </is>
      </c>
      <c r="D779" s="4" t="n">
        <v>68</v>
      </c>
      <c r="E779" s="4" t="inlineStr">
        <is>
          <t>a reformar</t>
        </is>
      </c>
      <c r="F779" s="22" t="n">
        <v>511000</v>
      </c>
      <c r="G779" s="23" t="n">
        <v>7514.71</v>
      </c>
      <c r="H779" s="22" t="n">
        <v>477463</v>
      </c>
      <c r="I779" s="23" t="n">
        <v>7021.51</v>
      </c>
      <c r="J779" s="18" t="n">
        <v>0.0702</v>
      </c>
      <c r="K779" s="24" t="n">
        <v>32.4</v>
      </c>
      <c r="L779" s="4" t="n">
        <v>15</v>
      </c>
      <c r="M779" s="4" t="inlineStr">
        <is>
          <t>alta</t>
        </is>
      </c>
      <c r="N779" s="4" t="inlineStr">
        <is>
          <t>en linea con comparables</t>
        </is>
      </c>
      <c r="O779" s="4" t="n"/>
    </row>
    <row r="780">
      <c r="A780" s="4" t="inlineStr">
        <is>
          <t>MD-0732</t>
        </is>
      </c>
      <c r="B780" s="21" t="n">
        <v>46037</v>
      </c>
      <c r="C780" s="4" t="inlineStr">
        <is>
          <t>Puente de Vallecas</t>
        </is>
      </c>
      <c r="D780" s="4" t="n">
        <v>80</v>
      </c>
      <c r="E780" s="4" t="inlineStr">
        <is>
          <t>reformado</t>
        </is>
      </c>
      <c r="F780" s="22" t="n">
        <v>265000</v>
      </c>
      <c r="G780" s="23" t="n">
        <v>3312.5</v>
      </c>
      <c r="H780" s="22" t="n">
        <v>250924</v>
      </c>
      <c r="I780" s="23" t="n">
        <v>3136.54</v>
      </c>
      <c r="J780" s="18" t="n">
        <v>0.0561</v>
      </c>
      <c r="K780" s="24" t="n">
        <v>36</v>
      </c>
      <c r="L780" s="4" t="n">
        <v>24</v>
      </c>
      <c r="M780" s="4" t="inlineStr">
        <is>
          <t>media</t>
        </is>
      </c>
      <c r="N780" s="4" t="inlineStr">
        <is>
          <t>en linea con comparables</t>
        </is>
      </c>
      <c r="O780" s="4" t="n"/>
    </row>
    <row r="781">
      <c r="A781" s="4" t="inlineStr">
        <is>
          <t>MD-1339</t>
        </is>
      </c>
      <c r="B781" s="21" t="n">
        <v>46037</v>
      </c>
      <c r="C781" s="4" t="inlineStr">
        <is>
          <t>Fuencarral-El Pardo</t>
        </is>
      </c>
      <c r="D781" s="4" t="n">
        <v>48</v>
      </c>
      <c r="E781" s="4" t="inlineStr">
        <is>
          <t>reformado</t>
        </is>
      </c>
      <c r="F781" s="22" t="n">
        <v>332000</v>
      </c>
      <c r="G781" s="23" t="n">
        <v>6916.67</v>
      </c>
      <c r="H781" s="22" t="n">
        <v>288566</v>
      </c>
      <c r="I781" s="23" t="n">
        <v>6011.8</v>
      </c>
      <c r="J781" s="18" t="n">
        <v>0.1505</v>
      </c>
      <c r="K781" s="24" t="n">
        <v>12.4</v>
      </c>
      <c r="L781" s="4" t="n">
        <v>13</v>
      </c>
      <c r="M781" s="4" t="inlineStr">
        <is>
          <t>media</t>
        </is>
      </c>
      <c r="N781" s="4" t="inlineStr">
        <is>
          <t>por encima de comparables</t>
        </is>
      </c>
      <c r="O781" s="4" t="n"/>
    </row>
    <row r="782">
      <c r="A782" s="4" t="inlineStr">
        <is>
          <t>MD-0892</t>
        </is>
      </c>
      <c r="B782" s="21" t="n">
        <v>46037</v>
      </c>
      <c r="C782" s="4" t="inlineStr">
        <is>
          <t>Fuencarral-El Pardo</t>
        </is>
      </c>
      <c r="D782" s="4" t="n">
        <v>188</v>
      </c>
      <c r="E782" s="4" t="inlineStr">
        <is>
          <t>buen estado</t>
        </is>
      </c>
      <c r="F782" s="22" t="n">
        <v>1079000</v>
      </c>
      <c r="G782" s="23" t="n">
        <v>5739.36</v>
      </c>
      <c r="H782" s="22" t="n">
        <v>950958</v>
      </c>
      <c r="I782" s="23" t="n">
        <v>5058.29</v>
      </c>
      <c r="J782" s="18" t="n">
        <v>0.1346</v>
      </c>
      <c r="K782" s="24" t="n">
        <v>16.3</v>
      </c>
      <c r="L782" s="4" t="n">
        <v>8</v>
      </c>
      <c r="M782" s="4" t="inlineStr">
        <is>
          <t>media</t>
        </is>
      </c>
      <c r="N782" s="4" t="inlineStr">
        <is>
          <t>por encima de comparables</t>
        </is>
      </c>
      <c r="O782" s="4" t="n"/>
    </row>
    <row r="783">
      <c r="A783" s="4" t="inlineStr">
        <is>
          <t>MD-0867</t>
        </is>
      </c>
      <c r="B783" s="21" t="n">
        <v>46037</v>
      </c>
      <c r="C783" s="4" t="inlineStr">
        <is>
          <t>Moratalaz</t>
        </is>
      </c>
      <c r="D783" s="4" t="n">
        <v>82</v>
      </c>
      <c r="E783" s="4" t="inlineStr">
        <is>
          <t>reformado</t>
        </is>
      </c>
      <c r="F783" s="22" t="n">
        <v>323000</v>
      </c>
      <c r="G783" s="23" t="n">
        <v>3939.02</v>
      </c>
      <c r="H783" s="22" t="n">
        <v>329555</v>
      </c>
      <c r="I783" s="23" t="n">
        <v>4018.97</v>
      </c>
      <c r="J783" s="18" t="n">
        <v>-0.0199</v>
      </c>
      <c r="K783" s="24" t="n">
        <v>55</v>
      </c>
      <c r="L783" s="4" t="n">
        <v>10</v>
      </c>
      <c r="M783" s="4" t="inlineStr">
        <is>
          <t>media</t>
        </is>
      </c>
      <c r="N783" s="4" t="inlineStr">
        <is>
          <t>en linea con comparables</t>
        </is>
      </c>
      <c r="O783" s="4" t="n"/>
    </row>
    <row r="784">
      <c r="A784" s="4" t="inlineStr">
        <is>
          <t>MD-0930</t>
        </is>
      </c>
      <c r="B784" s="21" t="n">
        <v>46038</v>
      </c>
      <c r="C784" s="4" t="inlineStr">
        <is>
          <t>Latina</t>
        </is>
      </c>
      <c r="D784" s="4" t="n">
        <v>97</v>
      </c>
      <c r="E784" s="4" t="inlineStr">
        <is>
          <t>buen estado</t>
        </is>
      </c>
      <c r="F784" s="22" t="n">
        <v>284000</v>
      </c>
      <c r="G784" s="23" t="n">
        <v>2927.84</v>
      </c>
      <c r="H784" s="22" t="n">
        <v>288914</v>
      </c>
      <c r="I784" s="23" t="n">
        <v>2978.5</v>
      </c>
      <c r="J784" s="18" t="n">
        <v>-0.017</v>
      </c>
      <c r="K784" s="24" t="n">
        <v>54.3</v>
      </c>
      <c r="L784" s="4" t="n">
        <v>10</v>
      </c>
      <c r="M784" s="4" t="inlineStr">
        <is>
          <t>media</t>
        </is>
      </c>
      <c r="N784" s="4" t="inlineStr">
        <is>
          <t>en linea con comparables</t>
        </is>
      </c>
      <c r="O784" s="4" t="n"/>
    </row>
    <row r="785">
      <c r="A785" s="4" t="inlineStr">
        <is>
          <t>MD-0665</t>
        </is>
      </c>
      <c r="B785" s="21" t="n">
        <v>46038</v>
      </c>
      <c r="C785" s="4" t="inlineStr">
        <is>
          <t>Barajas</t>
        </is>
      </c>
      <c r="D785" s="4" t="n">
        <v>71</v>
      </c>
      <c r="E785" s="4" t="inlineStr">
        <is>
          <t>reformado</t>
        </is>
      </c>
      <c r="F785" s="22" t="n">
        <v>247000</v>
      </c>
      <c r="G785" s="23" t="n">
        <v>3478.87</v>
      </c>
      <c r="H785" s="22" t="n"/>
      <c r="I785" s="23" t="n"/>
      <c r="J785" s="18" t="n"/>
      <c r="K785" s="24" t="n"/>
      <c r="L785" s="4" t="n">
        <v>4</v>
      </c>
      <c r="M785" s="4" t="inlineStr">
        <is>
          <t>sin muestra</t>
        </is>
      </c>
      <c r="N785" s="4" t="inlineStr">
        <is>
          <t>no valorable</t>
        </is>
      </c>
      <c r="O785" s="4" t="inlineStr">
        <is>
          <t>segmento con pocas operaciones comparables</t>
        </is>
      </c>
    </row>
    <row r="786">
      <c r="A786" s="4" t="inlineStr">
        <is>
          <t>MD-0018</t>
        </is>
      </c>
      <c r="B786" s="21" t="n">
        <v>46038</v>
      </c>
      <c r="C786" s="4" t="inlineStr">
        <is>
          <t>Centro</t>
        </is>
      </c>
      <c r="D786" s="4" t="n">
        <v>46</v>
      </c>
      <c r="E786" s="4" t="inlineStr">
        <is>
          <t>a reformar</t>
        </is>
      </c>
      <c r="F786" s="22" t="n">
        <v>258000</v>
      </c>
      <c r="G786" s="23" t="n">
        <v>5608.7</v>
      </c>
      <c r="H786" s="22" t="n">
        <v>245147</v>
      </c>
      <c r="I786" s="23" t="n">
        <v>5329.28</v>
      </c>
      <c r="J786" s="18" t="n">
        <v>0.0524</v>
      </c>
      <c r="K786" s="24" t="n">
        <v>36.9</v>
      </c>
      <c r="L786" s="4" t="n">
        <v>8</v>
      </c>
      <c r="M786" s="4" t="inlineStr">
        <is>
          <t>media</t>
        </is>
      </c>
      <c r="N786" s="4" t="inlineStr">
        <is>
          <t>en linea con comparables</t>
        </is>
      </c>
      <c r="O786" s="4" t="n"/>
    </row>
    <row r="787">
      <c r="A787" s="4" t="inlineStr">
        <is>
          <t>MD-0294</t>
        </is>
      </c>
      <c r="B787" s="21" t="n">
        <v>46038</v>
      </c>
      <c r="C787" s="4" t="inlineStr">
        <is>
          <t>Salamanca</t>
        </is>
      </c>
      <c r="D787" s="4" t="n">
        <v>37</v>
      </c>
      <c r="E787" s="4" t="inlineStr">
        <is>
          <t>reformado</t>
        </is>
      </c>
      <c r="F787" s="22" t="n">
        <v>414000</v>
      </c>
      <c r="G787" s="23" t="n">
        <v>11189.19</v>
      </c>
      <c r="H787" s="22" t="n">
        <v>335793</v>
      </c>
      <c r="I787" s="23" t="n">
        <v>9075.49</v>
      </c>
      <c r="J787" s="18" t="n">
        <v>0.2329</v>
      </c>
      <c r="K787" s="24" t="n">
        <v>0</v>
      </c>
      <c r="L787" s="4" t="n">
        <v>6</v>
      </c>
      <c r="M787" s="4" t="inlineStr">
        <is>
          <t>baja</t>
        </is>
      </c>
      <c r="N787" s="4" t="inlineStr">
        <is>
          <t>por encima de comparables</t>
        </is>
      </c>
      <c r="O787" s="4" t="n"/>
    </row>
    <row r="788">
      <c r="A788" s="4" t="inlineStr">
        <is>
          <t>MD-1807</t>
        </is>
      </c>
      <c r="B788" s="21" t="n">
        <v>46038</v>
      </c>
      <c r="C788" s="4" t="inlineStr">
        <is>
          <t>Puente de Vallecas</t>
        </is>
      </c>
      <c r="D788" s="4" t="n">
        <v>82</v>
      </c>
      <c r="E788" s="4" t="inlineStr">
        <is>
          <t>buen estado</t>
        </is>
      </c>
      <c r="F788" s="22" t="n">
        <v>239000</v>
      </c>
      <c r="G788" s="23" t="n">
        <v>2914.63</v>
      </c>
      <c r="H788" s="22" t="n">
        <v>241877</v>
      </c>
      <c r="I788" s="23" t="n">
        <v>2949.72</v>
      </c>
      <c r="J788" s="18" t="n">
        <v>-0.0119</v>
      </c>
      <c r="K788" s="24" t="n">
        <v>53</v>
      </c>
      <c r="L788" s="4" t="n">
        <v>25</v>
      </c>
      <c r="M788" s="4" t="inlineStr">
        <is>
          <t>alta</t>
        </is>
      </c>
      <c r="N788" s="4" t="inlineStr">
        <is>
          <t>en linea con comparables</t>
        </is>
      </c>
      <c r="O788" s="4" t="n"/>
    </row>
    <row r="789">
      <c r="A789" s="4" t="inlineStr">
        <is>
          <t>MD-1713</t>
        </is>
      </c>
      <c r="B789" s="21" t="n">
        <v>46038</v>
      </c>
      <c r="C789" s="4" t="inlineStr">
        <is>
          <t>Barajas</t>
        </is>
      </c>
      <c r="D789" s="4" t="n">
        <v>80</v>
      </c>
      <c r="E789" s="4" t="inlineStr">
        <is>
          <t>a reformar</t>
        </is>
      </c>
      <c r="F789" s="22" t="n">
        <v>251000</v>
      </c>
      <c r="G789" s="23" t="n">
        <v>3137.5</v>
      </c>
      <c r="H789" s="22" t="n">
        <v>282610</v>
      </c>
      <c r="I789" s="23" t="n">
        <v>3532.62</v>
      </c>
      <c r="J789" s="18" t="n">
        <v>-0.1118</v>
      </c>
      <c r="K789" s="24" t="n">
        <v>78</v>
      </c>
      <c r="L789" s="4" t="n">
        <v>6</v>
      </c>
      <c r="M789" s="4" t="inlineStr">
        <is>
          <t>baja</t>
        </is>
      </c>
      <c r="N789" s="4" t="inlineStr">
        <is>
          <t>por debajo de comparables</t>
        </is>
      </c>
      <c r="O789" s="4" t="n"/>
    </row>
    <row r="790">
      <c r="A790" s="4" t="inlineStr">
        <is>
          <t>MD-1420</t>
        </is>
      </c>
      <c r="B790" s="21" t="n">
        <v>46039</v>
      </c>
      <c r="C790" s="4" t="inlineStr">
        <is>
          <t>San Blas-Canillejas</t>
        </is>
      </c>
      <c r="D790" s="4" t="n">
        <v>54</v>
      </c>
      <c r="E790" s="4" t="inlineStr">
        <is>
          <t>a reformar</t>
        </is>
      </c>
      <c r="F790" s="22" t="n">
        <v>146000</v>
      </c>
      <c r="G790" s="23" t="n">
        <v>2703.7</v>
      </c>
      <c r="H790" s="22" t="n">
        <v>152872</v>
      </c>
      <c r="I790" s="23" t="n">
        <v>2830.97</v>
      </c>
      <c r="J790" s="18" t="n">
        <v>-0.045</v>
      </c>
      <c r="K790" s="24" t="n">
        <v>61.2</v>
      </c>
      <c r="L790" s="4" t="n">
        <v>15</v>
      </c>
      <c r="M790" s="4" t="inlineStr">
        <is>
          <t>media</t>
        </is>
      </c>
      <c r="N790" s="4" t="inlineStr">
        <is>
          <t>en linea con comparables</t>
        </is>
      </c>
      <c r="O790" s="4" t="n"/>
    </row>
    <row r="791">
      <c r="A791" s="4" t="inlineStr">
        <is>
          <t>MD-0230</t>
        </is>
      </c>
      <c r="B791" s="21" t="n">
        <v>46039</v>
      </c>
      <c r="C791" s="4" t="inlineStr">
        <is>
          <t>Arganzuela</t>
        </is>
      </c>
      <c r="D791" s="4" t="n">
        <v>86</v>
      </c>
      <c r="E791" s="4" t="inlineStr">
        <is>
          <t>a reformar</t>
        </is>
      </c>
      <c r="F791" s="22" t="n">
        <v>504000</v>
      </c>
      <c r="G791" s="23" t="n">
        <v>5860.47</v>
      </c>
      <c r="H791" s="22" t="n">
        <v>497719</v>
      </c>
      <c r="I791" s="23" t="n">
        <v>5787.43</v>
      </c>
      <c r="J791" s="18" t="n">
        <v>0.0126</v>
      </c>
      <c r="K791" s="24" t="n">
        <v>46.8</v>
      </c>
      <c r="L791" s="4" t="n">
        <v>8</v>
      </c>
      <c r="M791" s="4" t="inlineStr">
        <is>
          <t>media</t>
        </is>
      </c>
      <c r="N791" s="4" t="inlineStr">
        <is>
          <t>en linea con comparables</t>
        </is>
      </c>
      <c r="O791" s="4" t="n"/>
    </row>
    <row r="792">
      <c r="A792" s="4" t="inlineStr">
        <is>
          <t>MD-1902</t>
        </is>
      </c>
      <c r="B792" s="21" t="n">
        <v>46039</v>
      </c>
      <c r="C792" s="4" t="inlineStr">
        <is>
          <t>Chamartin</t>
        </is>
      </c>
      <c r="D792" s="4" t="n">
        <v>33</v>
      </c>
      <c r="E792" s="4" t="inlineStr">
        <is>
          <t>reformado</t>
        </is>
      </c>
      <c r="F792" s="22" t="n">
        <v>362000</v>
      </c>
      <c r="G792" s="23" t="n">
        <v>10969.7</v>
      </c>
      <c r="H792" s="22" t="n">
        <v>242291</v>
      </c>
      <c r="I792" s="23" t="n">
        <v>7342.15</v>
      </c>
      <c r="J792" s="18" t="n">
        <v>0.4941</v>
      </c>
      <c r="K792" s="24" t="n">
        <v>0</v>
      </c>
      <c r="L792" s="4" t="n">
        <v>5</v>
      </c>
      <c r="M792" s="4" t="inlineStr">
        <is>
          <t>baja</t>
        </is>
      </c>
      <c r="N792" s="4" t="inlineStr">
        <is>
          <t>por encima de comparables</t>
        </is>
      </c>
      <c r="O792" s="4" t="n"/>
    </row>
    <row r="793">
      <c r="A793" s="4" t="inlineStr">
        <is>
          <t>MD-0156</t>
        </is>
      </c>
      <c r="B793" s="21" t="n">
        <v>46039</v>
      </c>
      <c r="C793" s="4" t="inlineStr">
        <is>
          <t>Villa de Vallecas</t>
        </is>
      </c>
      <c r="D793" s="4" t="n">
        <v>57</v>
      </c>
      <c r="E793" s="4" t="inlineStr">
        <is>
          <t>buen estado</t>
        </is>
      </c>
      <c r="F793" s="22" t="n">
        <v>252000</v>
      </c>
      <c r="G793" s="23" t="n">
        <v>4421.05</v>
      </c>
      <c r="H793" s="22" t="n">
        <v>207844</v>
      </c>
      <c r="I793" s="23" t="n">
        <v>3646.38</v>
      </c>
      <c r="J793" s="18" t="n">
        <v>0.2124</v>
      </c>
      <c r="K793" s="24" t="n">
        <v>0</v>
      </c>
      <c r="L793" s="4" t="n">
        <v>6</v>
      </c>
      <c r="M793" s="4" t="inlineStr">
        <is>
          <t>baja</t>
        </is>
      </c>
      <c r="N793" s="4" t="inlineStr">
        <is>
          <t>por encima de comparables</t>
        </is>
      </c>
      <c r="O793" s="4" t="n"/>
    </row>
    <row r="794">
      <c r="A794" s="4" t="inlineStr">
        <is>
          <t>MD-1244</t>
        </is>
      </c>
      <c r="B794" s="21" t="n">
        <v>46039</v>
      </c>
      <c r="C794" s="4" t="inlineStr">
        <is>
          <t>Salamanca</t>
        </is>
      </c>
      <c r="D794" s="4" t="n">
        <v>151</v>
      </c>
      <c r="E794" s="4" t="inlineStr">
        <is>
          <t>buen estado</t>
        </is>
      </c>
      <c r="F794" s="22" t="n">
        <v>1777000</v>
      </c>
      <c r="G794" s="23" t="n">
        <v>11768.21</v>
      </c>
      <c r="H794" s="22" t="n">
        <v>1411052</v>
      </c>
      <c r="I794" s="23" t="n">
        <v>9344.719999999999</v>
      </c>
      <c r="J794" s="18" t="n">
        <v>0.2593</v>
      </c>
      <c r="K794" s="24" t="n">
        <v>0</v>
      </c>
      <c r="L794" s="4" t="n">
        <v>8</v>
      </c>
      <c r="M794" s="4" t="inlineStr">
        <is>
          <t>media</t>
        </is>
      </c>
      <c r="N794" s="4" t="inlineStr">
        <is>
          <t>por encima de comparables</t>
        </is>
      </c>
      <c r="O794" s="4" t="n"/>
    </row>
    <row r="795">
      <c r="A795" s="4" t="inlineStr">
        <is>
          <t>MD-1755</t>
        </is>
      </c>
      <c r="B795" s="21" t="n">
        <v>46039</v>
      </c>
      <c r="C795" s="4" t="inlineStr">
        <is>
          <t>Chamberi</t>
        </is>
      </c>
      <c r="D795" s="4" t="n">
        <v>172</v>
      </c>
      <c r="E795" s="4" t="inlineStr">
        <is>
          <t>reformado</t>
        </is>
      </c>
      <c r="F795" s="22" t="n">
        <v>1776000</v>
      </c>
      <c r="G795" s="23" t="n">
        <v>10325.58</v>
      </c>
      <c r="H795" s="22" t="n">
        <v>1195954</v>
      </c>
      <c r="I795" s="23" t="n">
        <v>6953.22</v>
      </c>
      <c r="J795" s="18" t="n">
        <v>0.485</v>
      </c>
      <c r="K795" s="24" t="n">
        <v>0</v>
      </c>
      <c r="L795" s="4" t="n">
        <v>5</v>
      </c>
      <c r="M795" s="4" t="inlineStr">
        <is>
          <t>baja</t>
        </is>
      </c>
      <c r="N795" s="4" t="inlineStr">
        <is>
          <t>por encima de comparables</t>
        </is>
      </c>
      <c r="O795" s="4" t="n"/>
    </row>
    <row r="796">
      <c r="A796" s="4" t="inlineStr">
        <is>
          <t>MD-1040</t>
        </is>
      </c>
      <c r="B796" s="21" t="n">
        <v>46040</v>
      </c>
      <c r="C796" s="4" t="inlineStr">
        <is>
          <t>Villa de Vallecas</t>
        </is>
      </c>
      <c r="D796" s="4" t="n">
        <v>76</v>
      </c>
      <c r="E796" s="4" t="inlineStr">
        <is>
          <t>a reformar</t>
        </is>
      </c>
      <c r="F796" s="22" t="n">
        <v>192000</v>
      </c>
      <c r="G796" s="23" t="n">
        <v>2526.32</v>
      </c>
      <c r="H796" s="22" t="n">
        <v>239135</v>
      </c>
      <c r="I796" s="23" t="n">
        <v>3146.52</v>
      </c>
      <c r="J796" s="18" t="n">
        <v>-0.1971</v>
      </c>
      <c r="K796" s="24" t="n">
        <v>99.3</v>
      </c>
      <c r="L796" s="4" t="n">
        <v>9</v>
      </c>
      <c r="M796" s="4" t="inlineStr">
        <is>
          <t>media</t>
        </is>
      </c>
      <c r="N796" s="4" t="inlineStr">
        <is>
          <t>por debajo de comparables</t>
        </is>
      </c>
      <c r="O796" s="4" t="n"/>
    </row>
    <row r="797">
      <c r="A797" s="4" t="inlineStr">
        <is>
          <t>MD-1643</t>
        </is>
      </c>
      <c r="B797" s="21" t="n">
        <v>46040</v>
      </c>
      <c r="C797" s="4" t="inlineStr">
        <is>
          <t>Chamberi</t>
        </is>
      </c>
      <c r="D797" s="4" t="n">
        <v>131</v>
      </c>
      <c r="E797" s="4" t="inlineStr">
        <is>
          <t>a reformar</t>
        </is>
      </c>
      <c r="F797" s="22" t="n">
        <v>931000</v>
      </c>
      <c r="G797" s="23" t="n">
        <v>7106.87</v>
      </c>
      <c r="H797" s="22" t="n"/>
      <c r="I797" s="23" t="n"/>
      <c r="J797" s="18" t="n"/>
      <c r="K797" s="24" t="n"/>
      <c r="L797" s="4" t="n">
        <v>3</v>
      </c>
      <c r="M797" s="4" t="inlineStr">
        <is>
          <t>sin muestra</t>
        </is>
      </c>
      <c r="N797" s="4" t="inlineStr">
        <is>
          <t>no valorable</t>
        </is>
      </c>
      <c r="O797" s="4" t="inlineStr">
        <is>
          <t>segmento con pocas operaciones comparables</t>
        </is>
      </c>
    </row>
    <row r="798">
      <c r="A798" s="4" t="inlineStr">
        <is>
          <t>MD-1296</t>
        </is>
      </c>
      <c r="B798" s="21" t="n">
        <v>46040</v>
      </c>
      <c r="C798" s="4" t="inlineStr">
        <is>
          <t>Chamartin</t>
        </is>
      </c>
      <c r="D798" s="4" t="n">
        <v>102</v>
      </c>
      <c r="E798" s="4" t="inlineStr">
        <is>
          <t>a reformar</t>
        </is>
      </c>
      <c r="F798" s="22" t="n">
        <v>626000</v>
      </c>
      <c r="G798" s="23" t="n">
        <v>6137.25</v>
      </c>
      <c r="H798" s="22" t="n">
        <v>662451</v>
      </c>
      <c r="I798" s="23" t="n">
        <v>6494.62</v>
      </c>
      <c r="J798" s="18" t="n">
        <v>-0.055</v>
      </c>
      <c r="K798" s="24" t="n">
        <v>63.8</v>
      </c>
      <c r="L798" s="4" t="n">
        <v>8</v>
      </c>
      <c r="M798" s="4" t="inlineStr">
        <is>
          <t>media</t>
        </is>
      </c>
      <c r="N798" s="4" t="inlineStr">
        <is>
          <t>en linea con comparables</t>
        </is>
      </c>
      <c r="O798" s="4" t="n"/>
    </row>
    <row r="799">
      <c r="A799" s="4" t="inlineStr">
        <is>
          <t>MD-0161</t>
        </is>
      </c>
      <c r="B799" s="21" t="n">
        <v>46040</v>
      </c>
      <c r="C799" s="4" t="inlineStr">
        <is>
          <t>Centro</t>
        </is>
      </c>
      <c r="D799" s="4" t="n">
        <v>67</v>
      </c>
      <c r="E799" s="4" t="inlineStr">
        <is>
          <t>buen estado</t>
        </is>
      </c>
      <c r="F799" s="22" t="n">
        <v>617000</v>
      </c>
      <c r="G799" s="23" t="n">
        <v>9208.959999999999</v>
      </c>
      <c r="H799" s="22" t="n">
        <v>521792</v>
      </c>
      <c r="I799" s="23" t="n">
        <v>7787.94</v>
      </c>
      <c r="J799" s="18" t="n">
        <v>0.1825</v>
      </c>
      <c r="K799" s="24" t="n">
        <v>4.4</v>
      </c>
      <c r="L799" s="4" t="n">
        <v>17</v>
      </c>
      <c r="M799" s="4" t="inlineStr">
        <is>
          <t>alta</t>
        </is>
      </c>
      <c r="N799" s="4" t="inlineStr">
        <is>
          <t>por encima de comparables</t>
        </is>
      </c>
      <c r="O799" s="4" t="n"/>
    </row>
    <row r="800">
      <c r="A800" s="4" t="inlineStr">
        <is>
          <t>MD-1103</t>
        </is>
      </c>
      <c r="B800" s="21" t="n">
        <v>46040</v>
      </c>
      <c r="C800" s="4" t="inlineStr">
        <is>
          <t>Latina</t>
        </is>
      </c>
      <c r="D800" s="4" t="n">
        <v>73</v>
      </c>
      <c r="E800" s="4" t="inlineStr">
        <is>
          <t>buen estado</t>
        </is>
      </c>
      <c r="F800" s="22" t="n">
        <v>233000</v>
      </c>
      <c r="G800" s="23" t="n">
        <v>3191.78</v>
      </c>
      <c r="H800" s="22" t="n">
        <v>238885</v>
      </c>
      <c r="I800" s="23" t="n">
        <v>3272.4</v>
      </c>
      <c r="J800" s="18" t="n">
        <v>-0.0246</v>
      </c>
      <c r="K800" s="24" t="n">
        <v>56.2</v>
      </c>
      <c r="L800" s="4" t="n">
        <v>30</v>
      </c>
      <c r="M800" s="4" t="inlineStr">
        <is>
          <t>media</t>
        </is>
      </c>
      <c r="N800" s="4" t="inlineStr">
        <is>
          <t>en linea con comparables</t>
        </is>
      </c>
      <c r="O800" s="4" t="n"/>
    </row>
    <row r="801">
      <c r="A801" s="4" t="inlineStr">
        <is>
          <t>MD-1235</t>
        </is>
      </c>
      <c r="B801" s="21" t="n">
        <v>46041</v>
      </c>
      <c r="C801" s="4" t="inlineStr">
        <is>
          <t>Retiro</t>
        </is>
      </c>
      <c r="D801" s="4" t="n">
        <v>171</v>
      </c>
      <c r="E801" s="4" t="inlineStr">
        <is>
          <t>a reformar</t>
        </is>
      </c>
      <c r="F801" s="22" t="n">
        <v>734000</v>
      </c>
      <c r="G801" s="23" t="n">
        <v>4292.4</v>
      </c>
      <c r="H801" s="22" t="n">
        <v>1094526</v>
      </c>
      <c r="I801" s="23" t="n">
        <v>6400.74</v>
      </c>
      <c r="J801" s="18" t="n">
        <v>-0.3294</v>
      </c>
      <c r="K801" s="24" t="n">
        <v>100</v>
      </c>
      <c r="L801" s="4" t="n">
        <v>10</v>
      </c>
      <c r="M801" s="4" t="inlineStr">
        <is>
          <t>media</t>
        </is>
      </c>
      <c r="N801" s="4" t="inlineStr">
        <is>
          <t>por debajo de comparables</t>
        </is>
      </c>
      <c r="O801" s="4" t="n"/>
    </row>
    <row r="802">
      <c r="A802" s="4" t="inlineStr">
        <is>
          <t>MD-1799</t>
        </is>
      </c>
      <c r="B802" s="21" t="n">
        <v>46041</v>
      </c>
      <c r="C802" s="4" t="inlineStr">
        <is>
          <t>Puente de Vallecas</t>
        </is>
      </c>
      <c r="D802" s="4" t="n">
        <v>49</v>
      </c>
      <c r="E802" s="4" t="inlineStr">
        <is>
          <t>buen estado</t>
        </is>
      </c>
      <c r="F802" s="22" t="n">
        <v>133000</v>
      </c>
      <c r="G802" s="23" t="n">
        <v>2714.29</v>
      </c>
      <c r="H802" s="22" t="n">
        <v>118744</v>
      </c>
      <c r="I802" s="23" t="n">
        <v>2423.35</v>
      </c>
      <c r="J802" s="18" t="n">
        <v>0.1201</v>
      </c>
      <c r="K802" s="24" t="n">
        <v>20</v>
      </c>
      <c r="L802" s="4" t="n">
        <v>24</v>
      </c>
      <c r="M802" s="4" t="inlineStr">
        <is>
          <t>alta</t>
        </is>
      </c>
      <c r="N802" s="4" t="inlineStr">
        <is>
          <t>por encima de comparables</t>
        </is>
      </c>
      <c r="O802" s="4" t="n"/>
    </row>
    <row r="803">
      <c r="A803" s="4" t="inlineStr">
        <is>
          <t>MD-0489</t>
        </is>
      </c>
      <c r="B803" s="21" t="n">
        <v>46041</v>
      </c>
      <c r="C803" s="4" t="inlineStr">
        <is>
          <t>Carabanchel</t>
        </is>
      </c>
      <c r="D803" s="4" t="n">
        <v>60</v>
      </c>
      <c r="E803" s="4" t="inlineStr">
        <is>
          <t>buen estado</t>
        </is>
      </c>
      <c r="F803" s="22" t="n">
        <v>196000</v>
      </c>
      <c r="G803" s="23" t="n">
        <v>3266.67</v>
      </c>
      <c r="H803" s="22" t="n">
        <v>206519</v>
      </c>
      <c r="I803" s="23" t="n">
        <v>3441.98</v>
      </c>
      <c r="J803" s="18" t="n">
        <v>-0.0509</v>
      </c>
      <c r="K803" s="24" t="n">
        <v>62.7</v>
      </c>
      <c r="L803" s="4" t="n">
        <v>23</v>
      </c>
      <c r="M803" s="4" t="inlineStr">
        <is>
          <t>alta</t>
        </is>
      </c>
      <c r="N803" s="4" t="inlineStr">
        <is>
          <t>en linea con comparables</t>
        </is>
      </c>
      <c r="O803" s="4" t="n"/>
    </row>
    <row r="804">
      <c r="A804" s="4" t="inlineStr">
        <is>
          <t>MD-0185</t>
        </is>
      </c>
      <c r="B804" s="21" t="n">
        <v>46041</v>
      </c>
      <c r="C804" s="4" t="inlineStr">
        <is>
          <t>Tetuan</t>
        </is>
      </c>
      <c r="D804" s="4" t="n">
        <v>33</v>
      </c>
      <c r="E804" s="4" t="inlineStr">
        <is>
          <t>buen estado</t>
        </is>
      </c>
      <c r="F804" s="22" t="n">
        <v>211000</v>
      </c>
      <c r="G804" s="23" t="n">
        <v>6393.94</v>
      </c>
      <c r="H804" s="22" t="n">
        <v>179223</v>
      </c>
      <c r="I804" s="23" t="n">
        <v>5431.01</v>
      </c>
      <c r="J804" s="18" t="n">
        <v>0.1773</v>
      </c>
      <c r="K804" s="24" t="n">
        <v>5.7</v>
      </c>
      <c r="L804" s="4" t="n">
        <v>6</v>
      </c>
      <c r="M804" s="4" t="inlineStr">
        <is>
          <t>baja</t>
        </is>
      </c>
      <c r="N804" s="4" t="inlineStr">
        <is>
          <t>por encima de comparables</t>
        </is>
      </c>
      <c r="O804" s="4" t="n"/>
    </row>
    <row r="805">
      <c r="A805" s="4" t="inlineStr">
        <is>
          <t>MD-1724</t>
        </is>
      </c>
      <c r="B805" s="21" t="n">
        <v>46041</v>
      </c>
      <c r="C805" s="4" t="inlineStr">
        <is>
          <t>Vicalvaro</t>
        </is>
      </c>
      <c r="D805" s="4" t="n">
        <v>59</v>
      </c>
      <c r="E805" s="4" t="inlineStr">
        <is>
          <t>a reformar</t>
        </is>
      </c>
      <c r="F805" s="22" t="n">
        <v>163000</v>
      </c>
      <c r="G805" s="23" t="n">
        <v>2762.71</v>
      </c>
      <c r="H805" s="22" t="n">
        <v>135958</v>
      </c>
      <c r="I805" s="23" t="n">
        <v>2304.37</v>
      </c>
      <c r="J805" s="18" t="n">
        <v>0.1989</v>
      </c>
      <c r="K805" s="24" t="n">
        <v>0.3</v>
      </c>
      <c r="L805" s="4" t="n">
        <v>9</v>
      </c>
      <c r="M805" s="4" t="inlineStr">
        <is>
          <t>media</t>
        </is>
      </c>
      <c r="N805" s="4" t="inlineStr">
        <is>
          <t>por encima de comparables</t>
        </is>
      </c>
      <c r="O805" s="4" t="n"/>
    </row>
    <row r="806">
      <c r="A806" s="4" t="inlineStr">
        <is>
          <t>MD-0081</t>
        </is>
      </c>
      <c r="B806" s="21" t="n">
        <v>46041</v>
      </c>
      <c r="C806" s="4" t="inlineStr">
        <is>
          <t>Fuencarral-El Pardo</t>
        </is>
      </c>
      <c r="D806" s="4" t="n">
        <v>81</v>
      </c>
      <c r="E806" s="4" t="inlineStr">
        <is>
          <t>buen estado</t>
        </is>
      </c>
      <c r="F806" s="22" t="n">
        <v>462000</v>
      </c>
      <c r="G806" s="23" t="n">
        <v>5703.7</v>
      </c>
      <c r="H806" s="22" t="n">
        <v>462857</v>
      </c>
      <c r="I806" s="23" t="n">
        <v>5714.29</v>
      </c>
      <c r="J806" s="18" t="n">
        <v>-0.0019</v>
      </c>
      <c r="K806" s="24" t="n">
        <v>50.5</v>
      </c>
      <c r="L806" s="4" t="n">
        <v>13</v>
      </c>
      <c r="M806" s="4" t="inlineStr">
        <is>
          <t>media</t>
        </is>
      </c>
      <c r="N806" s="4" t="inlineStr">
        <is>
          <t>en linea con comparables</t>
        </is>
      </c>
      <c r="O806" s="4" t="n"/>
    </row>
    <row r="807">
      <c r="A807" s="4" t="inlineStr">
        <is>
          <t>MD-1403</t>
        </is>
      </c>
      <c r="B807" s="21" t="n">
        <v>46041</v>
      </c>
      <c r="C807" s="4" t="inlineStr">
        <is>
          <t>Fuencarral-El Pardo</t>
        </is>
      </c>
      <c r="D807" s="4" t="n">
        <v>158</v>
      </c>
      <c r="E807" s="4" t="inlineStr">
        <is>
          <t>buen estado</t>
        </is>
      </c>
      <c r="F807" s="22" t="n">
        <v>721000</v>
      </c>
      <c r="G807" s="23" t="n">
        <v>4563.29</v>
      </c>
      <c r="H807" s="22" t="n">
        <v>814999</v>
      </c>
      <c r="I807" s="23" t="n">
        <v>5158.22</v>
      </c>
      <c r="J807" s="18" t="n">
        <v>-0.1153</v>
      </c>
      <c r="K807" s="24" t="n">
        <v>78.8</v>
      </c>
      <c r="L807" s="4" t="n">
        <v>12</v>
      </c>
      <c r="M807" s="4" t="inlineStr">
        <is>
          <t>media</t>
        </is>
      </c>
      <c r="N807" s="4" t="inlineStr">
        <is>
          <t>por debajo de comparables</t>
        </is>
      </c>
      <c r="O807" s="4" t="n"/>
    </row>
    <row r="808">
      <c r="A808" s="4" t="inlineStr">
        <is>
          <t>MD-0747</t>
        </is>
      </c>
      <c r="B808" s="21" t="n">
        <v>46041</v>
      </c>
      <c r="C808" s="4" t="inlineStr">
        <is>
          <t>Moratalaz</t>
        </is>
      </c>
      <c r="D808" s="4" t="n">
        <v>187</v>
      </c>
      <c r="E808" s="4" t="inlineStr">
        <is>
          <t>a reformar</t>
        </is>
      </c>
      <c r="F808" s="22" t="n">
        <v>517000</v>
      </c>
      <c r="G808" s="23" t="n">
        <v>2764.71</v>
      </c>
      <c r="H808" s="22" t="n"/>
      <c r="I808" s="23" t="n"/>
      <c r="J808" s="18" t="n"/>
      <c r="K808" s="24" t="n"/>
      <c r="L808" s="4" t="n">
        <v>0</v>
      </c>
      <c r="M808" s="4" t="inlineStr">
        <is>
          <t>sin muestra</t>
        </is>
      </c>
      <c r="N808" s="4" t="inlineStr">
        <is>
          <t>no valorable</t>
        </is>
      </c>
      <c r="O808" s="4" t="inlineStr">
        <is>
          <t>segmento con pocas operaciones comparables</t>
        </is>
      </c>
    </row>
    <row r="809">
      <c r="A809" s="4" t="inlineStr">
        <is>
          <t>MD-0299</t>
        </is>
      </c>
      <c r="B809" s="21" t="n">
        <v>46041</v>
      </c>
      <c r="C809" s="4" t="inlineStr">
        <is>
          <t>Usera</t>
        </is>
      </c>
      <c r="D809" s="4" t="n">
        <v>133</v>
      </c>
      <c r="E809" s="4" t="inlineStr">
        <is>
          <t>a reformar</t>
        </is>
      </c>
      <c r="F809" s="22" t="n">
        <v>296000</v>
      </c>
      <c r="G809" s="23" t="n">
        <v>2225.56</v>
      </c>
      <c r="H809" s="22" t="n"/>
      <c r="I809" s="23" t="n"/>
      <c r="J809" s="18" t="n"/>
      <c r="K809" s="24" t="n"/>
      <c r="L809" s="4" t="n">
        <v>2</v>
      </c>
      <c r="M809" s="4" t="inlineStr">
        <is>
          <t>sin muestra</t>
        </is>
      </c>
      <c r="N809" s="4" t="inlineStr">
        <is>
          <t>no valorable</t>
        </is>
      </c>
      <c r="O809" s="4" t="inlineStr">
        <is>
          <t>segmento con pocas operaciones comparables</t>
        </is>
      </c>
    </row>
    <row r="810">
      <c r="A810" s="4" t="inlineStr">
        <is>
          <t>MD-1458</t>
        </is>
      </c>
      <c r="B810" s="21" t="n">
        <v>46041</v>
      </c>
      <c r="C810" s="4" t="inlineStr">
        <is>
          <t>Latina</t>
        </is>
      </c>
      <c r="D810" s="4" t="n">
        <v>70</v>
      </c>
      <c r="E810" s="4" t="inlineStr">
        <is>
          <t>reformado</t>
        </is>
      </c>
      <c r="F810" s="22" t="n">
        <v>268000</v>
      </c>
      <c r="G810" s="23" t="n">
        <v>3828.57</v>
      </c>
      <c r="H810" s="22" t="n">
        <v>247548</v>
      </c>
      <c r="I810" s="23" t="n">
        <v>3536.4</v>
      </c>
      <c r="J810" s="18" t="n">
        <v>0.08260000000000001</v>
      </c>
      <c r="K810" s="24" t="n">
        <v>29.3</v>
      </c>
      <c r="L810" s="4" t="n">
        <v>33</v>
      </c>
      <c r="M810" s="4" t="inlineStr">
        <is>
          <t>media</t>
        </is>
      </c>
      <c r="N810" s="4" t="inlineStr">
        <is>
          <t>en linea con comparables</t>
        </is>
      </c>
      <c r="O810" s="4" t="n"/>
    </row>
    <row r="811">
      <c r="A811" s="4" t="inlineStr">
        <is>
          <t>MD-1552</t>
        </is>
      </c>
      <c r="B811" s="21" t="n">
        <v>46041</v>
      </c>
      <c r="C811" s="4" t="inlineStr">
        <is>
          <t>Tetuan</t>
        </is>
      </c>
      <c r="D811" s="4" t="n">
        <v>68</v>
      </c>
      <c r="E811" s="4" t="inlineStr">
        <is>
          <t>reformado</t>
        </is>
      </c>
      <c r="F811" s="22" t="n">
        <v>482000</v>
      </c>
      <c r="G811" s="23" t="n">
        <v>7088.24</v>
      </c>
      <c r="H811" s="22" t="n">
        <v>364712</v>
      </c>
      <c r="I811" s="23" t="n">
        <v>5363.41</v>
      </c>
      <c r="J811" s="18" t="n">
        <v>0.3216</v>
      </c>
      <c r="K811" s="24" t="n">
        <v>0</v>
      </c>
      <c r="L811" s="4" t="n">
        <v>14</v>
      </c>
      <c r="M811" s="4" t="inlineStr">
        <is>
          <t>media</t>
        </is>
      </c>
      <c r="N811" s="4" t="inlineStr">
        <is>
          <t>por encima de comparables</t>
        </is>
      </c>
      <c r="O811" s="4" t="n"/>
    </row>
    <row r="812">
      <c r="A812" s="4" t="inlineStr">
        <is>
          <t>MD-1550</t>
        </is>
      </c>
      <c r="B812" s="21" t="n">
        <v>46041</v>
      </c>
      <c r="C812" s="4" t="inlineStr">
        <is>
          <t>Ciudad Lineal</t>
        </is>
      </c>
      <c r="D812" s="4" t="n">
        <v>99</v>
      </c>
      <c r="E812" s="4" t="inlineStr">
        <is>
          <t>buen estado</t>
        </is>
      </c>
      <c r="F812" s="22" t="n">
        <v>323000</v>
      </c>
      <c r="G812" s="23" t="n">
        <v>3262.63</v>
      </c>
      <c r="H812" s="22" t="n">
        <v>346356</v>
      </c>
      <c r="I812" s="23" t="n">
        <v>3498.55</v>
      </c>
      <c r="J812" s="18" t="n">
        <v>-0.0674</v>
      </c>
      <c r="K812" s="24" t="n">
        <v>66.90000000000001</v>
      </c>
      <c r="L812" s="4" t="n">
        <v>7</v>
      </c>
      <c r="M812" s="4" t="inlineStr">
        <is>
          <t>baja</t>
        </is>
      </c>
      <c r="N812" s="4" t="inlineStr">
        <is>
          <t>en linea con comparables</t>
        </is>
      </c>
      <c r="O812" s="4" t="n"/>
    </row>
    <row r="813">
      <c r="A813" s="4" t="inlineStr">
        <is>
          <t>MD-1514</t>
        </is>
      </c>
      <c r="B813" s="21" t="n">
        <v>46041</v>
      </c>
      <c r="C813" s="4" t="inlineStr">
        <is>
          <t>Latina</t>
        </is>
      </c>
      <c r="D813" s="4" t="n">
        <v>49</v>
      </c>
      <c r="E813" s="4" t="inlineStr">
        <is>
          <t>buen estado</t>
        </is>
      </c>
      <c r="F813" s="22" t="n">
        <v>140000</v>
      </c>
      <c r="G813" s="23" t="n">
        <v>2857.14</v>
      </c>
      <c r="H813" s="22" t="n">
        <v>161412</v>
      </c>
      <c r="I813" s="23" t="n">
        <v>3294.13</v>
      </c>
      <c r="J813" s="18" t="n">
        <v>-0.1327</v>
      </c>
      <c r="K813" s="24" t="n">
        <v>83.2</v>
      </c>
      <c r="L813" s="4" t="n">
        <v>15</v>
      </c>
      <c r="M813" s="4" t="inlineStr">
        <is>
          <t>media</t>
        </is>
      </c>
      <c r="N813" s="4" t="inlineStr">
        <is>
          <t>por debajo de comparables</t>
        </is>
      </c>
      <c r="O813" s="4" t="n"/>
    </row>
    <row r="814">
      <c r="A814" s="4" t="inlineStr">
        <is>
          <t>MD-1429</t>
        </is>
      </c>
      <c r="B814" s="21" t="n">
        <v>46041</v>
      </c>
      <c r="C814" s="4" t="inlineStr">
        <is>
          <t>Tetuan</t>
        </is>
      </c>
      <c r="D814" s="4" t="n">
        <v>80</v>
      </c>
      <c r="E814" s="4" t="inlineStr">
        <is>
          <t>buen estado</t>
        </is>
      </c>
      <c r="F814" s="22" t="n">
        <v>366000</v>
      </c>
      <c r="G814" s="23" t="n">
        <v>4575</v>
      </c>
      <c r="H814" s="22" t="n">
        <v>365141</v>
      </c>
      <c r="I814" s="23" t="n">
        <v>4564.26</v>
      </c>
      <c r="J814" s="18" t="n">
        <v>0.0024</v>
      </c>
      <c r="K814" s="24" t="n">
        <v>49.4</v>
      </c>
      <c r="L814" s="4" t="n">
        <v>12</v>
      </c>
      <c r="M814" s="4" t="inlineStr">
        <is>
          <t>media</t>
        </is>
      </c>
      <c r="N814" s="4" t="inlineStr">
        <is>
          <t>en linea con comparables</t>
        </is>
      </c>
      <c r="O814" s="4" t="n"/>
    </row>
    <row r="815">
      <c r="A815" s="4" t="inlineStr">
        <is>
          <t>MD-0186</t>
        </is>
      </c>
      <c r="B815" s="21" t="n">
        <v>46042</v>
      </c>
      <c r="C815" s="4" t="inlineStr">
        <is>
          <t>Tetuan</t>
        </is>
      </c>
      <c r="D815" s="4" t="n">
        <v>38</v>
      </c>
      <c r="E815" s="4" t="inlineStr">
        <is>
          <t>obra nueva</t>
        </is>
      </c>
      <c r="F815" s="22" t="n">
        <v>247000</v>
      </c>
      <c r="G815" s="23" t="n">
        <v>6500</v>
      </c>
      <c r="H815" s="22" t="n">
        <v>249710</v>
      </c>
      <c r="I815" s="23" t="n">
        <v>6571.32</v>
      </c>
      <c r="J815" s="18" t="n">
        <v>-0.0109</v>
      </c>
      <c r="K815" s="24" t="n">
        <v>52.7</v>
      </c>
      <c r="L815" s="4" t="n">
        <v>8</v>
      </c>
      <c r="M815" s="4" t="inlineStr">
        <is>
          <t>media</t>
        </is>
      </c>
      <c r="N815" s="4" t="inlineStr">
        <is>
          <t>en linea con comparables</t>
        </is>
      </c>
      <c r="O815" s="4" t="n"/>
    </row>
    <row r="816">
      <c r="A816" s="4" t="inlineStr">
        <is>
          <t>MD-0224</t>
        </is>
      </c>
      <c r="B816" s="21" t="n">
        <v>46042</v>
      </c>
      <c r="C816" s="4" t="inlineStr">
        <is>
          <t>Hortaleza</t>
        </is>
      </c>
      <c r="D816" s="4" t="n">
        <v>151</v>
      </c>
      <c r="E816" s="4" t="inlineStr">
        <is>
          <t>reformado</t>
        </is>
      </c>
      <c r="F816" s="22" t="n">
        <v>797000</v>
      </c>
      <c r="G816" s="23" t="n">
        <v>5278.15</v>
      </c>
      <c r="H816" s="22" t="n">
        <v>771166</v>
      </c>
      <c r="I816" s="23" t="n">
        <v>5107.06</v>
      </c>
      <c r="J816" s="18" t="n">
        <v>0.0335</v>
      </c>
      <c r="K816" s="24" t="n">
        <v>41.6</v>
      </c>
      <c r="L816" s="4" t="n">
        <v>16</v>
      </c>
      <c r="M816" s="4" t="inlineStr">
        <is>
          <t>media</t>
        </is>
      </c>
      <c r="N816" s="4" t="inlineStr">
        <is>
          <t>en linea con comparables</t>
        </is>
      </c>
      <c r="O816" s="4" t="n"/>
    </row>
    <row r="817">
      <c r="A817" s="4" t="inlineStr">
        <is>
          <t>MD-1830</t>
        </is>
      </c>
      <c r="B817" s="21" t="n">
        <v>46042</v>
      </c>
      <c r="C817" s="4" t="inlineStr">
        <is>
          <t>Puente de Vallecas</t>
        </is>
      </c>
      <c r="D817" s="4" t="n">
        <v>49</v>
      </c>
      <c r="E817" s="4" t="inlineStr">
        <is>
          <t>buen estado</t>
        </is>
      </c>
      <c r="F817" s="22" t="n">
        <v>139000</v>
      </c>
      <c r="G817" s="23" t="n">
        <v>2836.73</v>
      </c>
      <c r="H817" s="22" t="n">
        <v>119071</v>
      </c>
      <c r="I817" s="23" t="n">
        <v>2430.03</v>
      </c>
      <c r="J817" s="18" t="n">
        <v>0.1674</v>
      </c>
      <c r="K817" s="24" t="n">
        <v>8.199999999999999</v>
      </c>
      <c r="L817" s="4" t="n">
        <v>25</v>
      </c>
      <c r="M817" s="4" t="inlineStr">
        <is>
          <t>alta</t>
        </is>
      </c>
      <c r="N817" s="4" t="inlineStr">
        <is>
          <t>por encima de comparables</t>
        </is>
      </c>
      <c r="O817" s="4" t="n"/>
    </row>
    <row r="818">
      <c r="A818" s="4" t="inlineStr">
        <is>
          <t>MD-1250</t>
        </is>
      </c>
      <c r="B818" s="21" t="n">
        <v>46042</v>
      </c>
      <c r="C818" s="4" t="inlineStr">
        <is>
          <t>Puente de Vallecas</t>
        </is>
      </c>
      <c r="D818" s="4" t="n">
        <v>47</v>
      </c>
      <c r="E818" s="4" t="inlineStr">
        <is>
          <t>reformado</t>
        </is>
      </c>
      <c r="F818" s="22" t="n">
        <v>110000</v>
      </c>
      <c r="G818" s="23" t="n">
        <v>2340.43</v>
      </c>
      <c r="H818" s="22" t="n">
        <v>125524</v>
      </c>
      <c r="I818" s="23" t="n">
        <v>2670.73</v>
      </c>
      <c r="J818" s="18" t="n">
        <v>-0.1237</v>
      </c>
      <c r="K818" s="24" t="n">
        <v>80.90000000000001</v>
      </c>
      <c r="L818" s="4" t="n">
        <v>23</v>
      </c>
      <c r="M818" s="4" t="inlineStr">
        <is>
          <t>alta</t>
        </is>
      </c>
      <c r="N818" s="4" t="inlineStr">
        <is>
          <t>por debajo de comparables</t>
        </is>
      </c>
      <c r="O818" s="4" t="n"/>
    </row>
    <row r="819">
      <c r="A819" s="4" t="inlineStr">
        <is>
          <t>MD-0619</t>
        </is>
      </c>
      <c r="B819" s="21" t="n">
        <v>46042</v>
      </c>
      <c r="C819" s="4" t="inlineStr">
        <is>
          <t>Latina</t>
        </is>
      </c>
      <c r="D819" s="4" t="n">
        <v>59</v>
      </c>
      <c r="E819" s="4" t="inlineStr">
        <is>
          <t>a reformar</t>
        </is>
      </c>
      <c r="F819" s="22" t="n">
        <v>200000</v>
      </c>
      <c r="G819" s="23" t="n">
        <v>3389.83</v>
      </c>
      <c r="H819" s="22" t="n">
        <v>174437</v>
      </c>
      <c r="I819" s="23" t="n">
        <v>2956.55</v>
      </c>
      <c r="J819" s="18" t="n">
        <v>0.1465</v>
      </c>
      <c r="K819" s="24" t="n">
        <v>13.4</v>
      </c>
      <c r="L819" s="4" t="n">
        <v>22</v>
      </c>
      <c r="M819" s="4" t="inlineStr">
        <is>
          <t>media</t>
        </is>
      </c>
      <c r="N819" s="4" t="inlineStr">
        <is>
          <t>por encima de comparables</t>
        </is>
      </c>
      <c r="O819" s="4" t="n"/>
    </row>
    <row r="820">
      <c r="A820" s="4" t="inlineStr">
        <is>
          <t>MD-1952</t>
        </is>
      </c>
      <c r="B820" s="21" t="n">
        <v>46043</v>
      </c>
      <c r="C820" s="4" t="inlineStr">
        <is>
          <t>Carabanchel</t>
        </is>
      </c>
      <c r="D820" s="4" t="n">
        <v>54</v>
      </c>
      <c r="E820" s="4" t="inlineStr">
        <is>
          <t>a reformar</t>
        </is>
      </c>
      <c r="F820" s="22" t="n">
        <v>172000</v>
      </c>
      <c r="G820" s="23" t="n">
        <v>3185.19</v>
      </c>
      <c r="H820" s="22" t="n">
        <v>158047</v>
      </c>
      <c r="I820" s="23" t="n">
        <v>2926.79</v>
      </c>
      <c r="J820" s="18" t="n">
        <v>0.0883</v>
      </c>
      <c r="K820" s="24" t="n">
        <v>27.9</v>
      </c>
      <c r="L820" s="4" t="n">
        <v>19</v>
      </c>
      <c r="M820" s="4" t="inlineStr">
        <is>
          <t>alta</t>
        </is>
      </c>
      <c r="N820" s="4" t="inlineStr">
        <is>
          <t>en linea con comparables</t>
        </is>
      </c>
      <c r="O820" s="4" t="n"/>
    </row>
    <row r="821">
      <c r="A821" s="4" t="inlineStr">
        <is>
          <t>MD-0648</t>
        </is>
      </c>
      <c r="B821" s="21" t="n">
        <v>46043</v>
      </c>
      <c r="C821" s="4" t="inlineStr">
        <is>
          <t>Vicalvaro</t>
        </is>
      </c>
      <c r="D821" s="4" t="n">
        <v>172</v>
      </c>
      <c r="E821" s="4" t="inlineStr">
        <is>
          <t>reformado</t>
        </is>
      </c>
      <c r="F821" s="22" t="n">
        <v>817000</v>
      </c>
      <c r="G821" s="23" t="n">
        <v>4750</v>
      </c>
      <c r="H821" s="22" t="n">
        <v>600682</v>
      </c>
      <c r="I821" s="23" t="n">
        <v>3492.34</v>
      </c>
      <c r="J821" s="18" t="n">
        <v>0.3601</v>
      </c>
      <c r="K821" s="24" t="n">
        <v>0</v>
      </c>
      <c r="L821" s="4" t="n">
        <v>9</v>
      </c>
      <c r="M821" s="4" t="inlineStr">
        <is>
          <t>media</t>
        </is>
      </c>
      <c r="N821" s="4" t="inlineStr">
        <is>
          <t>por encima de comparables</t>
        </is>
      </c>
      <c r="O821" s="4" t="n"/>
    </row>
    <row r="822">
      <c r="A822" s="4" t="inlineStr">
        <is>
          <t>MD-0845</t>
        </is>
      </c>
      <c r="B822" s="21" t="n">
        <v>46043</v>
      </c>
      <c r="C822" s="4" t="inlineStr">
        <is>
          <t>Vicalvaro</t>
        </is>
      </c>
      <c r="D822" s="4" t="n">
        <v>171</v>
      </c>
      <c r="E822" s="4" t="inlineStr">
        <is>
          <t>buen estado</t>
        </is>
      </c>
      <c r="F822" s="22" t="n">
        <v>536000</v>
      </c>
      <c r="G822" s="23" t="n">
        <v>3134.5</v>
      </c>
      <c r="H822" s="22" t="n">
        <v>625078</v>
      </c>
      <c r="I822" s="23" t="n">
        <v>3655.42</v>
      </c>
      <c r="J822" s="18" t="n">
        <v>-0.1425</v>
      </c>
      <c r="K822" s="24" t="n">
        <v>85.59999999999999</v>
      </c>
      <c r="L822" s="4" t="n">
        <v>9</v>
      </c>
      <c r="M822" s="4" t="inlineStr">
        <is>
          <t>media</t>
        </is>
      </c>
      <c r="N822" s="4" t="inlineStr">
        <is>
          <t>por debajo de comparables</t>
        </is>
      </c>
      <c r="O822" s="4" t="n"/>
    </row>
    <row r="823">
      <c r="A823" s="4" t="inlineStr">
        <is>
          <t>MD-1659</t>
        </is>
      </c>
      <c r="B823" s="21" t="n">
        <v>46043</v>
      </c>
      <c r="C823" s="4" t="inlineStr">
        <is>
          <t>Chamartin</t>
        </is>
      </c>
      <c r="D823" s="4" t="n">
        <v>108</v>
      </c>
      <c r="E823" s="4" t="inlineStr">
        <is>
          <t>reformado</t>
        </is>
      </c>
      <c r="F823" s="22" t="n">
        <v>829000</v>
      </c>
      <c r="G823" s="23" t="n">
        <v>7675.93</v>
      </c>
      <c r="H823" s="22" t="n">
        <v>837918</v>
      </c>
      <c r="I823" s="23" t="n">
        <v>7758.5</v>
      </c>
      <c r="J823" s="18" t="n">
        <v>-0.0106</v>
      </c>
      <c r="K823" s="24" t="n">
        <v>52.7</v>
      </c>
      <c r="L823" s="4" t="n">
        <v>10</v>
      </c>
      <c r="M823" s="4" t="inlineStr">
        <is>
          <t>media</t>
        </is>
      </c>
      <c r="N823" s="4" t="inlineStr">
        <is>
          <t>en linea con comparables</t>
        </is>
      </c>
      <c r="O823" s="4" t="n"/>
    </row>
    <row r="824">
      <c r="A824" s="4" t="inlineStr">
        <is>
          <t>MD-0138</t>
        </is>
      </c>
      <c r="B824" s="21" t="n">
        <v>46043</v>
      </c>
      <c r="C824" s="4" t="inlineStr">
        <is>
          <t>Puente de Vallecas</t>
        </is>
      </c>
      <c r="D824" s="4" t="n">
        <v>42</v>
      </c>
      <c r="E824" s="4" t="inlineStr">
        <is>
          <t>a reformar</t>
        </is>
      </c>
      <c r="F824" s="22" t="n">
        <v>99000</v>
      </c>
      <c r="G824" s="23" t="n">
        <v>2357.14</v>
      </c>
      <c r="H824" s="22" t="n">
        <v>101354</v>
      </c>
      <c r="I824" s="23" t="n">
        <v>2413.2</v>
      </c>
      <c r="J824" s="18" t="n">
        <v>-0.0232</v>
      </c>
      <c r="K824" s="24" t="n">
        <v>55.8</v>
      </c>
      <c r="L824" s="4" t="n">
        <v>14</v>
      </c>
      <c r="M824" s="4" t="inlineStr">
        <is>
          <t>media</t>
        </is>
      </c>
      <c r="N824" s="4" t="inlineStr">
        <is>
          <t>en linea con comparables</t>
        </is>
      </c>
      <c r="O824" s="4" t="n"/>
    </row>
    <row r="825">
      <c r="A825" s="4" t="inlineStr">
        <is>
          <t>MD-1150</t>
        </is>
      </c>
      <c r="B825" s="21" t="n">
        <v>46043</v>
      </c>
      <c r="C825" s="4" t="inlineStr">
        <is>
          <t>Moncloa-Aravaca</t>
        </is>
      </c>
      <c r="D825" s="4" t="n">
        <v>74</v>
      </c>
      <c r="E825" s="4" t="inlineStr">
        <is>
          <t>buen estado</t>
        </is>
      </c>
      <c r="F825" s="22" t="n">
        <v>323000</v>
      </c>
      <c r="G825" s="23" t="n">
        <v>4364.86</v>
      </c>
      <c r="H825" s="22" t="n">
        <v>413242</v>
      </c>
      <c r="I825" s="23" t="n">
        <v>5584.36</v>
      </c>
      <c r="J825" s="18" t="n">
        <v>-0.2184</v>
      </c>
      <c r="K825" s="24" t="n">
        <v>100</v>
      </c>
      <c r="L825" s="4" t="n">
        <v>6</v>
      </c>
      <c r="M825" s="4" t="inlineStr">
        <is>
          <t>baja</t>
        </is>
      </c>
      <c r="N825" s="4" t="inlineStr">
        <is>
          <t>por debajo de comparables</t>
        </is>
      </c>
      <c r="O825" s="4" t="n"/>
    </row>
    <row r="826">
      <c r="A826" s="4" t="inlineStr">
        <is>
          <t>MD-1414</t>
        </is>
      </c>
      <c r="B826" s="21" t="n">
        <v>46044</v>
      </c>
      <c r="C826" s="4" t="inlineStr">
        <is>
          <t>Centro</t>
        </is>
      </c>
      <c r="D826" s="4" t="n">
        <v>99</v>
      </c>
      <c r="E826" s="4" t="inlineStr">
        <is>
          <t>a reformar</t>
        </is>
      </c>
      <c r="F826" s="22" t="n">
        <v>580000</v>
      </c>
      <c r="G826" s="23" t="n">
        <v>5858.59</v>
      </c>
      <c r="H826" s="22" t="n">
        <v>500994</v>
      </c>
      <c r="I826" s="23" t="n">
        <v>5060.55</v>
      </c>
      <c r="J826" s="18" t="n">
        <v>0.1577</v>
      </c>
      <c r="K826" s="24" t="n">
        <v>10.6</v>
      </c>
      <c r="L826" s="4" t="n">
        <v>9</v>
      </c>
      <c r="M826" s="4" t="inlineStr">
        <is>
          <t>media</t>
        </is>
      </c>
      <c r="N826" s="4" t="inlineStr">
        <is>
          <t>por encima de comparables</t>
        </is>
      </c>
      <c r="O826" s="4" t="n"/>
    </row>
    <row r="827">
      <c r="A827" s="4" t="inlineStr">
        <is>
          <t>MD-1264</t>
        </is>
      </c>
      <c r="B827" s="21" t="n">
        <v>46044</v>
      </c>
      <c r="C827" s="4" t="inlineStr">
        <is>
          <t>Vicalvaro</t>
        </is>
      </c>
      <c r="D827" s="4" t="n">
        <v>145</v>
      </c>
      <c r="E827" s="4" t="inlineStr">
        <is>
          <t>buen estado</t>
        </is>
      </c>
      <c r="F827" s="22" t="n">
        <v>558000</v>
      </c>
      <c r="G827" s="23" t="n">
        <v>3848.28</v>
      </c>
      <c r="H827" s="22" t="n">
        <v>521028</v>
      </c>
      <c r="I827" s="23" t="n">
        <v>3593.3</v>
      </c>
      <c r="J827" s="18" t="n">
        <v>0.07099999999999999</v>
      </c>
      <c r="K827" s="24" t="n">
        <v>32.3</v>
      </c>
      <c r="L827" s="4" t="n">
        <v>10</v>
      </c>
      <c r="M827" s="4" t="inlineStr">
        <is>
          <t>media</t>
        </is>
      </c>
      <c r="N827" s="4" t="inlineStr">
        <is>
          <t>en linea con comparables</t>
        </is>
      </c>
      <c r="O827" s="4" t="n"/>
    </row>
    <row r="828">
      <c r="A828" s="4" t="inlineStr">
        <is>
          <t>MD-1628</t>
        </is>
      </c>
      <c r="B828" s="21" t="n">
        <v>46044</v>
      </c>
      <c r="C828" s="4" t="inlineStr">
        <is>
          <t>Hortaleza</t>
        </is>
      </c>
      <c r="D828" s="4" t="n">
        <v>69</v>
      </c>
      <c r="E828" s="4" t="inlineStr">
        <is>
          <t>buen estado</t>
        </is>
      </c>
      <c r="F828" s="22" t="n">
        <v>322000</v>
      </c>
      <c r="G828" s="23" t="n">
        <v>4666.67</v>
      </c>
      <c r="H828" s="22" t="n">
        <v>391000</v>
      </c>
      <c r="I828" s="23" t="n">
        <v>5666.67</v>
      </c>
      <c r="J828" s="18" t="n">
        <v>-0.1765</v>
      </c>
      <c r="K828" s="24" t="n">
        <v>94.09999999999999</v>
      </c>
      <c r="L828" s="4" t="n">
        <v>13</v>
      </c>
      <c r="M828" s="4" t="inlineStr">
        <is>
          <t>media</t>
        </is>
      </c>
      <c r="N828" s="4" t="inlineStr">
        <is>
          <t>por debajo de comparables</t>
        </is>
      </c>
      <c r="O828" s="4" t="n"/>
    </row>
    <row r="829">
      <c r="A829" s="4" t="inlineStr">
        <is>
          <t>MD-0912</t>
        </is>
      </c>
      <c r="B829" s="21" t="n">
        <v>46044</v>
      </c>
      <c r="C829" s="4" t="inlineStr">
        <is>
          <t>Hortaleza</t>
        </is>
      </c>
      <c r="D829" s="4" t="n">
        <v>96</v>
      </c>
      <c r="E829" s="4" t="inlineStr">
        <is>
          <t>a reformar</t>
        </is>
      </c>
      <c r="F829" s="22" t="n">
        <v>423000</v>
      </c>
      <c r="G829" s="23" t="n">
        <v>4406.25</v>
      </c>
      <c r="H829" s="22" t="n">
        <v>438167</v>
      </c>
      <c r="I829" s="23" t="n">
        <v>4564.24</v>
      </c>
      <c r="J829" s="18" t="n">
        <v>-0.0346</v>
      </c>
      <c r="K829" s="24" t="n">
        <v>58.7</v>
      </c>
      <c r="L829" s="4" t="n">
        <v>18</v>
      </c>
      <c r="M829" s="4" t="inlineStr">
        <is>
          <t>alta</t>
        </is>
      </c>
      <c r="N829" s="4" t="inlineStr">
        <is>
          <t>en linea con comparables</t>
        </is>
      </c>
      <c r="O829" s="4" t="n"/>
    </row>
    <row r="830">
      <c r="A830" s="4" t="inlineStr">
        <is>
          <t>MD-1165</t>
        </is>
      </c>
      <c r="B830" s="21" t="n">
        <v>46044</v>
      </c>
      <c r="C830" s="4" t="inlineStr">
        <is>
          <t>San Blas-Canillejas</t>
        </is>
      </c>
      <c r="D830" s="4" t="n">
        <v>112</v>
      </c>
      <c r="E830" s="4" t="inlineStr">
        <is>
          <t>buen estado</t>
        </is>
      </c>
      <c r="F830" s="22" t="n">
        <v>332000</v>
      </c>
      <c r="G830" s="23" t="n">
        <v>2964.29</v>
      </c>
      <c r="H830" s="22" t="n">
        <v>378764</v>
      </c>
      <c r="I830" s="23" t="n">
        <v>3381.82</v>
      </c>
      <c r="J830" s="18" t="n">
        <v>-0.1235</v>
      </c>
      <c r="K830" s="24" t="n">
        <v>80.90000000000001</v>
      </c>
      <c r="L830" s="4" t="n">
        <v>9</v>
      </c>
      <c r="M830" s="4" t="inlineStr">
        <is>
          <t>media</t>
        </is>
      </c>
      <c r="N830" s="4" t="inlineStr">
        <is>
          <t>por debajo de comparables</t>
        </is>
      </c>
      <c r="O830" s="4" t="n"/>
    </row>
    <row r="831">
      <c r="A831" s="4" t="inlineStr">
        <is>
          <t>MD-1078</t>
        </is>
      </c>
      <c r="B831" s="21" t="n">
        <v>46044</v>
      </c>
      <c r="C831" s="4" t="inlineStr">
        <is>
          <t>Carabanchel</t>
        </is>
      </c>
      <c r="D831" s="4" t="n">
        <v>51</v>
      </c>
      <c r="E831" s="4" t="inlineStr">
        <is>
          <t>reformado</t>
        </is>
      </c>
      <c r="F831" s="22" t="n">
        <v>185000</v>
      </c>
      <c r="G831" s="23" t="n">
        <v>3627.45</v>
      </c>
      <c r="H831" s="22" t="n">
        <v>181039</v>
      </c>
      <c r="I831" s="23" t="n">
        <v>3549.79</v>
      </c>
      <c r="J831" s="18" t="n">
        <v>0.0219</v>
      </c>
      <c r="K831" s="24" t="n">
        <v>44.5</v>
      </c>
      <c r="L831" s="4" t="n">
        <v>22</v>
      </c>
      <c r="M831" s="4" t="inlineStr">
        <is>
          <t>alta</t>
        </is>
      </c>
      <c r="N831" s="4" t="inlineStr">
        <is>
          <t>en linea con comparables</t>
        </is>
      </c>
      <c r="O831" s="4" t="n"/>
    </row>
    <row r="832">
      <c r="A832" s="4" t="inlineStr">
        <is>
          <t>MD-1042</t>
        </is>
      </c>
      <c r="B832" s="21" t="n">
        <v>46044</v>
      </c>
      <c r="C832" s="4" t="inlineStr">
        <is>
          <t>Ciudad Lineal</t>
        </is>
      </c>
      <c r="D832" s="4" t="n">
        <v>89</v>
      </c>
      <c r="E832" s="4" t="inlineStr">
        <is>
          <t>a reformar</t>
        </is>
      </c>
      <c r="F832" s="22" t="n">
        <v>372000</v>
      </c>
      <c r="G832" s="23" t="n">
        <v>4179.78</v>
      </c>
      <c r="H832" s="22" t="n">
        <v>356165</v>
      </c>
      <c r="I832" s="23" t="n">
        <v>4001.86</v>
      </c>
      <c r="J832" s="18" t="n">
        <v>0.0445</v>
      </c>
      <c r="K832" s="24" t="n">
        <v>38.9</v>
      </c>
      <c r="L832" s="4" t="n">
        <v>13</v>
      </c>
      <c r="M832" s="4" t="inlineStr">
        <is>
          <t>media</t>
        </is>
      </c>
      <c r="N832" s="4" t="inlineStr">
        <is>
          <t>en linea con comparables</t>
        </is>
      </c>
      <c r="O832" s="4" t="n"/>
    </row>
    <row r="833">
      <c r="A833" s="4" t="inlineStr">
        <is>
          <t>MD-1976</t>
        </is>
      </c>
      <c r="B833" s="21" t="n">
        <v>46045</v>
      </c>
      <c r="C833" s="4" t="inlineStr">
        <is>
          <t>Chamartin</t>
        </is>
      </c>
      <c r="D833" s="4" t="n">
        <v>101</v>
      </c>
      <c r="E833" s="4" t="inlineStr">
        <is>
          <t>buen estado</t>
        </is>
      </c>
      <c r="F833" s="22" t="n">
        <v>1009000</v>
      </c>
      <c r="G833" s="23" t="n">
        <v>9990.1</v>
      </c>
      <c r="H833" s="22" t="n">
        <v>857423</v>
      </c>
      <c r="I833" s="23" t="n">
        <v>8489.34</v>
      </c>
      <c r="J833" s="18" t="n">
        <v>0.1768</v>
      </c>
      <c r="K833" s="24" t="n">
        <v>5.8</v>
      </c>
      <c r="L833" s="4" t="n">
        <v>11</v>
      </c>
      <c r="M833" s="4" t="inlineStr">
        <is>
          <t>media</t>
        </is>
      </c>
      <c r="N833" s="4" t="inlineStr">
        <is>
          <t>por encima de comparables</t>
        </is>
      </c>
      <c r="O833" s="4" t="n"/>
    </row>
    <row r="834">
      <c r="A834" s="4" t="inlineStr">
        <is>
          <t>MD-1457</t>
        </is>
      </c>
      <c r="B834" s="21" t="n">
        <v>46045</v>
      </c>
      <c r="C834" s="4" t="inlineStr">
        <is>
          <t>Fuencarral-El Pardo</t>
        </is>
      </c>
      <c r="D834" s="4" t="n">
        <v>189</v>
      </c>
      <c r="E834" s="4" t="inlineStr">
        <is>
          <t>buen estado</t>
        </is>
      </c>
      <c r="F834" s="22" t="n">
        <v>199000</v>
      </c>
      <c r="G834" s="23" t="n">
        <v>1052.91</v>
      </c>
      <c r="H834" s="22" t="n">
        <v>939068</v>
      </c>
      <c r="I834" s="23" t="n">
        <v>4968.61</v>
      </c>
      <c r="J834" s="18" t="n">
        <v>-0.7881</v>
      </c>
      <c r="K834" s="24" t="n">
        <v>100</v>
      </c>
      <c r="L834" s="4" t="n">
        <v>9</v>
      </c>
      <c r="M834" s="4" t="inlineStr">
        <is>
          <t>media</t>
        </is>
      </c>
      <c r="N834" s="4" t="inlineStr">
        <is>
          <t>por debajo de comparables</t>
        </is>
      </c>
      <c r="O834" s="4" t="n"/>
    </row>
    <row r="835">
      <c r="A835" s="4" t="inlineStr">
        <is>
          <t>MD-1340</t>
        </is>
      </c>
      <c r="B835" s="21" t="n">
        <v>46045</v>
      </c>
      <c r="C835" s="4" t="inlineStr">
        <is>
          <t>Vicalvaro</t>
        </is>
      </c>
      <c r="D835" s="4" t="n">
        <v>88</v>
      </c>
      <c r="E835" s="4" t="inlineStr">
        <is>
          <t>buen estado</t>
        </is>
      </c>
      <c r="F835" s="22" t="n">
        <v>355000</v>
      </c>
      <c r="G835" s="23" t="n">
        <v>4034.09</v>
      </c>
      <c r="H835" s="22" t="n">
        <v>292600</v>
      </c>
      <c r="I835" s="23" t="n">
        <v>3325</v>
      </c>
      <c r="J835" s="18" t="n">
        <v>0.2133</v>
      </c>
      <c r="K835" s="24" t="n">
        <v>0</v>
      </c>
      <c r="L835" s="4" t="n">
        <v>12</v>
      </c>
      <c r="M835" s="4" t="inlineStr">
        <is>
          <t>media</t>
        </is>
      </c>
      <c r="N835" s="4" t="inlineStr">
        <is>
          <t>por encima de comparables</t>
        </is>
      </c>
      <c r="O835" s="4" t="n"/>
    </row>
    <row r="836">
      <c r="A836" s="4" t="inlineStr">
        <is>
          <t>MD-1206</t>
        </is>
      </c>
      <c r="B836" s="21" t="n">
        <v>46045</v>
      </c>
      <c r="C836" s="4" t="inlineStr">
        <is>
          <t>Chamberi</t>
        </is>
      </c>
      <c r="D836" s="4" t="n">
        <v>40</v>
      </c>
      <c r="E836" s="4" t="inlineStr">
        <is>
          <t>buen estado</t>
        </is>
      </c>
      <c r="F836" s="22" t="n">
        <v>301000</v>
      </c>
      <c r="G836" s="23" t="n">
        <v>7525</v>
      </c>
      <c r="H836" s="22" t="n"/>
      <c r="I836" s="23" t="n"/>
      <c r="J836" s="18" t="n"/>
      <c r="K836" s="24" t="n"/>
      <c r="L836" s="4" t="n">
        <v>3</v>
      </c>
      <c r="M836" s="4" t="inlineStr">
        <is>
          <t>sin muestra</t>
        </is>
      </c>
      <c r="N836" s="4" t="inlineStr">
        <is>
          <t>no valorable</t>
        </is>
      </c>
      <c r="O836" s="4" t="inlineStr">
        <is>
          <t>segmento con pocas operaciones comparables</t>
        </is>
      </c>
    </row>
    <row r="837">
      <c r="A837" s="4" t="inlineStr">
        <is>
          <t>MD-1534</t>
        </is>
      </c>
      <c r="B837" s="21" t="n">
        <v>46045</v>
      </c>
      <c r="C837" s="4" t="inlineStr">
        <is>
          <t>Arganzuela</t>
        </is>
      </c>
      <c r="D837" s="4" t="n">
        <v>80</v>
      </c>
      <c r="E837" s="4" t="inlineStr">
        <is>
          <t>reformado</t>
        </is>
      </c>
      <c r="F837" s="22" t="n">
        <v>545000</v>
      </c>
      <c r="G837" s="23" t="n">
        <v>6812.5</v>
      </c>
      <c r="H837" s="22" t="n">
        <v>575883</v>
      </c>
      <c r="I837" s="23" t="n">
        <v>7198.54</v>
      </c>
      <c r="J837" s="18" t="n">
        <v>-0.0536</v>
      </c>
      <c r="K837" s="24" t="n">
        <v>63.4</v>
      </c>
      <c r="L837" s="4" t="n">
        <v>10</v>
      </c>
      <c r="M837" s="4" t="inlineStr">
        <is>
          <t>media</t>
        </is>
      </c>
      <c r="N837" s="4" t="inlineStr">
        <is>
          <t>en linea con comparables</t>
        </is>
      </c>
      <c r="O837" s="4" t="n"/>
    </row>
    <row r="838">
      <c r="A838" s="4" t="inlineStr">
        <is>
          <t>MD-0178</t>
        </is>
      </c>
      <c r="B838" s="21" t="n">
        <v>46045</v>
      </c>
      <c r="C838" s="4" t="inlineStr">
        <is>
          <t>Arganzuela</t>
        </is>
      </c>
      <c r="D838" s="4" t="n">
        <v>75</v>
      </c>
      <c r="E838" s="4" t="inlineStr">
        <is>
          <t>reformado</t>
        </is>
      </c>
      <c r="F838" s="22" t="n">
        <v>534000</v>
      </c>
      <c r="G838" s="23" t="n">
        <v>7120</v>
      </c>
      <c r="H838" s="22" t="n">
        <v>476876</v>
      </c>
      <c r="I838" s="23" t="n">
        <v>6358.35</v>
      </c>
      <c r="J838" s="18" t="n">
        <v>0.1198</v>
      </c>
      <c r="K838" s="24" t="n">
        <v>20.1</v>
      </c>
      <c r="L838" s="4" t="n">
        <v>14</v>
      </c>
      <c r="M838" s="4" t="inlineStr">
        <is>
          <t>media</t>
        </is>
      </c>
      <c r="N838" s="4" t="inlineStr">
        <is>
          <t>por encima de comparables</t>
        </is>
      </c>
      <c r="O838" s="4" t="n"/>
    </row>
    <row r="839">
      <c r="A839" s="4" t="inlineStr">
        <is>
          <t>MD-1171</t>
        </is>
      </c>
      <c r="B839" s="21" t="n">
        <v>46046</v>
      </c>
      <c r="C839" s="4" t="inlineStr">
        <is>
          <t>Usera</t>
        </is>
      </c>
      <c r="D839" s="4" t="n">
        <v>68</v>
      </c>
      <c r="E839" s="4" t="inlineStr">
        <is>
          <t>buen estado</t>
        </is>
      </c>
      <c r="F839" s="22" t="n">
        <v>187000</v>
      </c>
      <c r="G839" s="23" t="n">
        <v>2750</v>
      </c>
      <c r="H839" s="22" t="n">
        <v>207398</v>
      </c>
      <c r="I839" s="23" t="n">
        <v>3049.97</v>
      </c>
      <c r="J839" s="18" t="n">
        <v>-0.0984</v>
      </c>
      <c r="K839" s="24" t="n">
        <v>74.59999999999999</v>
      </c>
      <c r="L839" s="4" t="n">
        <v>9</v>
      </c>
      <c r="M839" s="4" t="inlineStr">
        <is>
          <t>media</t>
        </is>
      </c>
      <c r="N839" s="4" t="inlineStr">
        <is>
          <t>en linea con comparables</t>
        </is>
      </c>
      <c r="O839" s="4" t="n"/>
    </row>
    <row r="840">
      <c r="A840" s="4" t="inlineStr">
        <is>
          <t>MD-1521</t>
        </is>
      </c>
      <c r="B840" s="21" t="n">
        <v>46046</v>
      </c>
      <c r="C840" s="4" t="inlineStr">
        <is>
          <t>Moncloa-Aravaca</t>
        </is>
      </c>
      <c r="D840" s="4" t="n">
        <v>51</v>
      </c>
      <c r="E840" s="4" t="inlineStr">
        <is>
          <t>buen estado</t>
        </is>
      </c>
      <c r="F840" s="22" t="n">
        <v>328000</v>
      </c>
      <c r="G840" s="23" t="n">
        <v>6431.37</v>
      </c>
      <c r="H840" s="22" t="n"/>
      <c r="I840" s="23" t="n"/>
      <c r="J840" s="18" t="n"/>
      <c r="K840" s="24" t="n"/>
      <c r="L840" s="4" t="n">
        <v>0</v>
      </c>
      <c r="M840" s="4" t="inlineStr">
        <is>
          <t>sin muestra</t>
        </is>
      </c>
      <c r="N840" s="4" t="inlineStr">
        <is>
          <t>no valorable</t>
        </is>
      </c>
      <c r="O840" s="4" t="inlineStr">
        <is>
          <t>segmento con pocas operaciones comparables</t>
        </is>
      </c>
    </row>
    <row r="841">
      <c r="A841" s="4" t="inlineStr">
        <is>
          <t>MD-0782</t>
        </is>
      </c>
      <c r="B841" s="21" t="n">
        <v>46046</v>
      </c>
      <c r="C841" s="4" t="inlineStr">
        <is>
          <t>Latina</t>
        </is>
      </c>
      <c r="D841" s="4" t="n">
        <v>65</v>
      </c>
      <c r="E841" s="4" t="inlineStr">
        <is>
          <t>buen estado</t>
        </is>
      </c>
      <c r="F841" s="22" t="n">
        <v>148000</v>
      </c>
      <c r="G841" s="23" t="n">
        <v>2276.92</v>
      </c>
      <c r="H841" s="22" t="n">
        <v>182515</v>
      </c>
      <c r="I841" s="23" t="n">
        <v>2807.93</v>
      </c>
      <c r="J841" s="18" t="n">
        <v>-0.1891</v>
      </c>
      <c r="K841" s="24" t="n">
        <v>97.3</v>
      </c>
      <c r="L841" s="4" t="n">
        <v>29</v>
      </c>
      <c r="M841" s="4" t="inlineStr">
        <is>
          <t>media</t>
        </is>
      </c>
      <c r="N841" s="4" t="inlineStr">
        <is>
          <t>por debajo de comparables</t>
        </is>
      </c>
      <c r="O841" s="4" t="n"/>
    </row>
    <row r="842">
      <c r="A842" s="4" t="inlineStr">
        <is>
          <t>MD-1945</t>
        </is>
      </c>
      <c r="B842" s="21" t="n">
        <v>46046</v>
      </c>
      <c r="C842" s="4" t="inlineStr">
        <is>
          <t>Moratalaz</t>
        </is>
      </c>
      <c r="D842" s="4" t="n">
        <v>86</v>
      </c>
      <c r="E842" s="4" t="inlineStr">
        <is>
          <t>buen estado</t>
        </is>
      </c>
      <c r="F842" s="22" t="n">
        <v>285000</v>
      </c>
      <c r="G842" s="23" t="n">
        <v>3313.95</v>
      </c>
      <c r="H842" s="22" t="n">
        <v>247091</v>
      </c>
      <c r="I842" s="23" t="n">
        <v>2873.15</v>
      </c>
      <c r="J842" s="18" t="n">
        <v>0.1534</v>
      </c>
      <c r="K842" s="24" t="n">
        <v>11.6</v>
      </c>
      <c r="L842" s="4" t="n">
        <v>9</v>
      </c>
      <c r="M842" s="4" t="inlineStr">
        <is>
          <t>media</t>
        </is>
      </c>
      <c r="N842" s="4" t="inlineStr">
        <is>
          <t>por encima de comparables</t>
        </is>
      </c>
      <c r="O842" s="4" t="n"/>
    </row>
    <row r="843">
      <c r="A843" s="4" t="inlineStr">
        <is>
          <t>MD-0254</t>
        </is>
      </c>
      <c r="B843" s="21" t="n">
        <v>46046</v>
      </c>
      <c r="C843" s="4" t="inlineStr">
        <is>
          <t>Hortaleza</t>
        </is>
      </c>
      <c r="D843" s="4" t="n">
        <v>64</v>
      </c>
      <c r="E843" s="4" t="inlineStr">
        <is>
          <t>buen estado</t>
        </is>
      </c>
      <c r="F843" s="22" t="n">
        <v>440000</v>
      </c>
      <c r="G843" s="23" t="n">
        <v>6875</v>
      </c>
      <c r="H843" s="22" t="n">
        <v>322489</v>
      </c>
      <c r="I843" s="23" t="n">
        <v>5038.88</v>
      </c>
      <c r="J843" s="18" t="n">
        <v>0.3644</v>
      </c>
      <c r="K843" s="24" t="n">
        <v>0</v>
      </c>
      <c r="L843" s="4" t="n">
        <v>13</v>
      </c>
      <c r="M843" s="4" t="inlineStr">
        <is>
          <t>media</t>
        </is>
      </c>
      <c r="N843" s="4" t="inlineStr">
        <is>
          <t>por encima de comparables</t>
        </is>
      </c>
      <c r="O843" s="4" t="n"/>
    </row>
    <row r="844">
      <c r="A844" s="4" t="inlineStr">
        <is>
          <t>MD-0498</t>
        </is>
      </c>
      <c r="B844" s="21" t="n">
        <v>46046</v>
      </c>
      <c r="C844" s="4" t="inlineStr">
        <is>
          <t>Centro</t>
        </is>
      </c>
      <c r="D844" s="4" t="n">
        <v>41</v>
      </c>
      <c r="E844" s="4" t="inlineStr">
        <is>
          <t>buen estado</t>
        </is>
      </c>
      <c r="F844" s="22" t="n">
        <v>230000</v>
      </c>
      <c r="G844" s="23" t="n">
        <v>5609.76</v>
      </c>
      <c r="H844" s="22" t="n">
        <v>302769</v>
      </c>
      <c r="I844" s="23" t="n">
        <v>7384.62</v>
      </c>
      <c r="J844" s="18" t="n">
        <v>-0.2403</v>
      </c>
      <c r="K844" s="24" t="n">
        <v>100</v>
      </c>
      <c r="L844" s="4" t="n">
        <v>13</v>
      </c>
      <c r="M844" s="4" t="inlineStr">
        <is>
          <t>media</t>
        </is>
      </c>
      <c r="N844" s="4" t="inlineStr">
        <is>
          <t>por debajo de comparables</t>
        </is>
      </c>
      <c r="O844" s="4" t="n"/>
    </row>
    <row r="845">
      <c r="A845" s="4" t="inlineStr">
        <is>
          <t>MD-0910</t>
        </is>
      </c>
      <c r="B845" s="21" t="n">
        <v>46046</v>
      </c>
      <c r="C845" s="4" t="inlineStr">
        <is>
          <t>Latina</t>
        </is>
      </c>
      <c r="D845" s="4" t="n">
        <v>45</v>
      </c>
      <c r="E845" s="4" t="inlineStr">
        <is>
          <t>buen estado</t>
        </is>
      </c>
      <c r="F845" s="22" t="n">
        <v>141000</v>
      </c>
      <c r="G845" s="23" t="n">
        <v>3133.33</v>
      </c>
      <c r="H845" s="22" t="n">
        <v>147502</v>
      </c>
      <c r="I845" s="23" t="n">
        <v>3277.82</v>
      </c>
      <c r="J845" s="18" t="n">
        <v>-0.0441</v>
      </c>
      <c r="K845" s="24" t="n">
        <v>61</v>
      </c>
      <c r="L845" s="4" t="n">
        <v>13</v>
      </c>
      <c r="M845" s="4" t="inlineStr">
        <is>
          <t>media</t>
        </is>
      </c>
      <c r="N845" s="4" t="inlineStr">
        <is>
          <t>en linea con comparables</t>
        </is>
      </c>
      <c r="O845" s="4" t="n"/>
    </row>
    <row r="846">
      <c r="A846" s="4" t="inlineStr">
        <is>
          <t>MD-0411</t>
        </is>
      </c>
      <c r="B846" s="21" t="n">
        <v>46046</v>
      </c>
      <c r="C846" s="4" t="inlineStr">
        <is>
          <t>Carabanchel</t>
        </is>
      </c>
      <c r="D846" s="4" t="n">
        <v>176</v>
      </c>
      <c r="E846" s="4" t="inlineStr">
        <is>
          <t>obra nueva</t>
        </is>
      </c>
      <c r="F846" s="22" t="n">
        <v>697000</v>
      </c>
      <c r="G846" s="23" t="n">
        <v>3960.23</v>
      </c>
      <c r="H846" s="22" t="n"/>
      <c r="I846" s="23" t="n"/>
      <c r="J846" s="18" t="n"/>
      <c r="K846" s="24" t="n"/>
      <c r="L846" s="4" t="n">
        <v>4</v>
      </c>
      <c r="M846" s="4" t="inlineStr">
        <is>
          <t>sin muestra</t>
        </is>
      </c>
      <c r="N846" s="4" t="inlineStr">
        <is>
          <t>no valorable</t>
        </is>
      </c>
      <c r="O846" s="4" t="inlineStr">
        <is>
          <t>segmento con pocas operaciones comparables</t>
        </is>
      </c>
    </row>
    <row r="847">
      <c r="A847" s="4" t="inlineStr">
        <is>
          <t>MD-1861</t>
        </is>
      </c>
      <c r="B847" s="21" t="n">
        <v>46047</v>
      </c>
      <c r="C847" s="4" t="inlineStr">
        <is>
          <t>Fuencarral-El Pardo</t>
        </is>
      </c>
      <c r="D847" s="4" t="n">
        <v>98</v>
      </c>
      <c r="E847" s="4" t="inlineStr">
        <is>
          <t>reformado</t>
        </is>
      </c>
      <c r="F847" s="22" t="n">
        <v>511000</v>
      </c>
      <c r="G847" s="23" t="n">
        <v>5214.29</v>
      </c>
      <c r="H847" s="22" t="n">
        <v>542818</v>
      </c>
      <c r="I847" s="23" t="n">
        <v>5538.96</v>
      </c>
      <c r="J847" s="18" t="n">
        <v>-0.0586</v>
      </c>
      <c r="K847" s="24" t="n">
        <v>64.7</v>
      </c>
      <c r="L847" s="4" t="n">
        <v>19</v>
      </c>
      <c r="M847" s="4" t="inlineStr">
        <is>
          <t>alta</t>
        </is>
      </c>
      <c r="N847" s="4" t="inlineStr">
        <is>
          <t>en linea con comparables</t>
        </is>
      </c>
      <c r="O847" s="4" t="n"/>
    </row>
    <row r="848">
      <c r="A848" s="4" t="inlineStr">
        <is>
          <t>MD-0514</t>
        </is>
      </c>
      <c r="B848" s="21" t="n">
        <v>46048</v>
      </c>
      <c r="C848" s="4" t="inlineStr">
        <is>
          <t>Villa de Vallecas</t>
        </is>
      </c>
      <c r="D848" s="4" t="n">
        <v>99</v>
      </c>
      <c r="E848" s="4" t="inlineStr">
        <is>
          <t>a reformar</t>
        </is>
      </c>
      <c r="F848" s="22" t="n">
        <v>347000</v>
      </c>
      <c r="G848" s="23" t="n">
        <v>3505.05</v>
      </c>
      <c r="H848" s="22" t="n">
        <v>303681</v>
      </c>
      <c r="I848" s="23" t="n">
        <v>3067.49</v>
      </c>
      <c r="J848" s="18" t="n">
        <v>0.1426</v>
      </c>
      <c r="K848" s="24" t="n">
        <v>14.3</v>
      </c>
      <c r="L848" s="4" t="n">
        <v>6</v>
      </c>
      <c r="M848" s="4" t="inlineStr">
        <is>
          <t>baja</t>
        </is>
      </c>
      <c r="N848" s="4" t="inlineStr">
        <is>
          <t>por encima de comparables</t>
        </is>
      </c>
      <c r="O848" s="4" t="n"/>
    </row>
    <row r="849">
      <c r="A849" s="4" t="inlineStr">
        <is>
          <t>MD-0396</t>
        </is>
      </c>
      <c r="B849" s="21" t="n">
        <v>46048</v>
      </c>
      <c r="C849" s="4" t="inlineStr">
        <is>
          <t>Arganzuela</t>
        </is>
      </c>
      <c r="D849" s="4" t="n">
        <v>65</v>
      </c>
      <c r="E849" s="4" t="inlineStr">
        <is>
          <t>a reformar</t>
        </is>
      </c>
      <c r="F849" s="22" t="n">
        <v>313000</v>
      </c>
      <c r="G849" s="23" t="n">
        <v>4815.38</v>
      </c>
      <c r="H849" s="22" t="n">
        <v>334273</v>
      </c>
      <c r="I849" s="23" t="n">
        <v>5142.66</v>
      </c>
      <c r="J849" s="18" t="n">
        <v>-0.0636</v>
      </c>
      <c r="K849" s="24" t="n">
        <v>65.90000000000001</v>
      </c>
      <c r="L849" s="4" t="n">
        <v>15</v>
      </c>
      <c r="M849" s="4" t="inlineStr">
        <is>
          <t>media</t>
        </is>
      </c>
      <c r="N849" s="4" t="inlineStr">
        <is>
          <t>en linea con comparables</t>
        </is>
      </c>
      <c r="O849" s="4" t="n"/>
    </row>
    <row r="850">
      <c r="A850" s="4" t="inlineStr">
        <is>
          <t>MD-1953</t>
        </is>
      </c>
      <c r="B850" s="21" t="n">
        <v>46048</v>
      </c>
      <c r="C850" s="4" t="inlineStr">
        <is>
          <t>San Blas-Canillejas</t>
        </is>
      </c>
      <c r="D850" s="4" t="n">
        <v>131</v>
      </c>
      <c r="E850" s="4" t="inlineStr">
        <is>
          <t>reformado</t>
        </is>
      </c>
      <c r="F850" s="22" t="n">
        <v>514000</v>
      </c>
      <c r="G850" s="23" t="n">
        <v>3923.66</v>
      </c>
      <c r="H850" s="22" t="n">
        <v>540935</v>
      </c>
      <c r="I850" s="23" t="n">
        <v>4129.28</v>
      </c>
      <c r="J850" s="18" t="n">
        <v>-0.0498</v>
      </c>
      <c r="K850" s="24" t="n">
        <v>62.4</v>
      </c>
      <c r="L850" s="4" t="n">
        <v>11</v>
      </c>
      <c r="M850" s="4" t="inlineStr">
        <is>
          <t>media</t>
        </is>
      </c>
      <c r="N850" s="4" t="inlineStr">
        <is>
          <t>en linea con comparables</t>
        </is>
      </c>
      <c r="O850" s="4" t="n"/>
    </row>
    <row r="851">
      <c r="A851" s="4" t="inlineStr">
        <is>
          <t>MD-1099</t>
        </is>
      </c>
      <c r="B851" s="21" t="n">
        <v>46048</v>
      </c>
      <c r="C851" s="4" t="inlineStr">
        <is>
          <t>Ciudad Lineal</t>
        </is>
      </c>
      <c r="D851" s="4" t="n">
        <v>96</v>
      </c>
      <c r="E851" s="4" t="inlineStr">
        <is>
          <t>buen estado</t>
        </is>
      </c>
      <c r="F851" s="22" t="n">
        <v>491000</v>
      </c>
      <c r="G851" s="23" t="n">
        <v>5114.58</v>
      </c>
      <c r="H851" s="22" t="n">
        <v>381061</v>
      </c>
      <c r="I851" s="23" t="n">
        <v>3969.39</v>
      </c>
      <c r="J851" s="18" t="n">
        <v>0.2885</v>
      </c>
      <c r="K851" s="24" t="n">
        <v>0</v>
      </c>
      <c r="L851" s="4" t="n">
        <v>10</v>
      </c>
      <c r="M851" s="4" t="inlineStr">
        <is>
          <t>media</t>
        </is>
      </c>
      <c r="N851" s="4" t="inlineStr">
        <is>
          <t>por encima de comparables</t>
        </is>
      </c>
      <c r="O851" s="4" t="n"/>
    </row>
    <row r="852">
      <c r="A852" s="4" t="inlineStr">
        <is>
          <t>MD-0803</t>
        </is>
      </c>
      <c r="B852" s="21" t="n">
        <v>46048</v>
      </c>
      <c r="C852" s="4" t="inlineStr">
        <is>
          <t>Puente de Vallecas</t>
        </is>
      </c>
      <c r="D852" s="4" t="n">
        <v>87</v>
      </c>
      <c r="E852" s="4" t="inlineStr">
        <is>
          <t>reformado</t>
        </is>
      </c>
      <c r="F852" s="22" t="n">
        <v>310000</v>
      </c>
      <c r="G852" s="23" t="n">
        <v>3563.22</v>
      </c>
      <c r="H852" s="22" t="n">
        <v>245176</v>
      </c>
      <c r="I852" s="23" t="n">
        <v>2818.12</v>
      </c>
      <c r="J852" s="18" t="n">
        <v>0.2644</v>
      </c>
      <c r="K852" s="24" t="n">
        <v>0</v>
      </c>
      <c r="L852" s="4" t="n">
        <v>27</v>
      </c>
      <c r="M852" s="4" t="inlineStr">
        <is>
          <t>alta</t>
        </is>
      </c>
      <c r="N852" s="4" t="inlineStr">
        <is>
          <t>por encima de comparables</t>
        </is>
      </c>
      <c r="O852" s="4" t="n"/>
    </row>
    <row r="853">
      <c r="A853" s="4" t="inlineStr">
        <is>
          <t>MD-0944</t>
        </is>
      </c>
      <c r="B853" s="21" t="n">
        <v>46048</v>
      </c>
      <c r="C853" s="4" t="inlineStr">
        <is>
          <t>Villa de Vallecas</t>
        </is>
      </c>
      <c r="D853" s="4" t="n">
        <v>61</v>
      </c>
      <c r="E853" s="4" t="inlineStr">
        <is>
          <t>obra nueva</t>
        </is>
      </c>
      <c r="F853" s="22" t="n">
        <v>310000</v>
      </c>
      <c r="G853" s="23" t="n">
        <v>5081.97</v>
      </c>
      <c r="H853" s="22" t="n">
        <v>262053</v>
      </c>
      <c r="I853" s="23" t="n">
        <v>4295.95</v>
      </c>
      <c r="J853" s="18" t="n">
        <v>0.183</v>
      </c>
      <c r="K853" s="24" t="n">
        <v>4.3</v>
      </c>
      <c r="L853" s="4" t="n">
        <v>8</v>
      </c>
      <c r="M853" s="4" t="inlineStr">
        <is>
          <t>media</t>
        </is>
      </c>
      <c r="N853" s="4" t="inlineStr">
        <is>
          <t>por encima de comparables</t>
        </is>
      </c>
      <c r="O853" s="4" t="n"/>
    </row>
    <row r="854">
      <c r="A854" s="4" t="inlineStr">
        <is>
          <t>MD-1871</t>
        </is>
      </c>
      <c r="B854" s="21" t="n">
        <v>46049</v>
      </c>
      <c r="C854" s="4" t="inlineStr">
        <is>
          <t>Carabanchel</t>
        </is>
      </c>
      <c r="D854" s="4" t="n">
        <v>74</v>
      </c>
      <c r="E854" s="4" t="inlineStr">
        <is>
          <t>buen estado</t>
        </is>
      </c>
      <c r="F854" s="22" t="n">
        <v>202000</v>
      </c>
      <c r="G854" s="23" t="n">
        <v>2729.73</v>
      </c>
      <c r="H854" s="22" t="n">
        <v>264476</v>
      </c>
      <c r="I854" s="23" t="n">
        <v>3574</v>
      </c>
      <c r="J854" s="18" t="n">
        <v>-0.2362</v>
      </c>
      <c r="K854" s="24" t="n">
        <v>100</v>
      </c>
      <c r="L854" s="4" t="n">
        <v>18</v>
      </c>
      <c r="M854" s="4" t="inlineStr">
        <is>
          <t>alta</t>
        </is>
      </c>
      <c r="N854" s="4" t="inlineStr">
        <is>
          <t>por debajo de comparables</t>
        </is>
      </c>
      <c r="O854" s="4" t="n"/>
    </row>
    <row r="855">
      <c r="A855" s="4" t="inlineStr">
        <is>
          <t>MD-0848</t>
        </is>
      </c>
      <c r="B855" s="21" t="n">
        <v>46049</v>
      </c>
      <c r="C855" s="4" t="inlineStr">
        <is>
          <t>Latina</t>
        </is>
      </c>
      <c r="D855" s="4" t="n">
        <v>74</v>
      </c>
      <c r="E855" s="4" t="inlineStr">
        <is>
          <t>a reformar</t>
        </is>
      </c>
      <c r="F855" s="22" t="n">
        <v>155000</v>
      </c>
      <c r="G855" s="23" t="n">
        <v>2094.59</v>
      </c>
      <c r="H855" s="22" t="n">
        <v>179228</v>
      </c>
      <c r="I855" s="23" t="n">
        <v>2422</v>
      </c>
      <c r="J855" s="18" t="n">
        <v>-0.1352</v>
      </c>
      <c r="K855" s="24" t="n">
        <v>83.8</v>
      </c>
      <c r="L855" s="4" t="n">
        <v>33</v>
      </c>
      <c r="M855" s="4" t="inlineStr">
        <is>
          <t>media</t>
        </is>
      </c>
      <c r="N855" s="4" t="inlineStr">
        <is>
          <t>por debajo de comparables</t>
        </is>
      </c>
      <c r="O855" s="4" t="n"/>
    </row>
    <row r="856">
      <c r="A856" s="4" t="inlineStr">
        <is>
          <t>MD-1971</t>
        </is>
      </c>
      <c r="B856" s="21" t="n">
        <v>46049</v>
      </c>
      <c r="C856" s="4" t="inlineStr">
        <is>
          <t>Villa de Vallecas</t>
        </is>
      </c>
      <c r="D856" s="4" t="n">
        <v>66</v>
      </c>
      <c r="E856" s="4" t="inlineStr">
        <is>
          <t>buen estado</t>
        </is>
      </c>
      <c r="F856" s="22" t="n">
        <v>166000</v>
      </c>
      <c r="G856" s="23" t="n">
        <v>2515.15</v>
      </c>
      <c r="H856" s="22" t="n">
        <v>252208</v>
      </c>
      <c r="I856" s="23" t="n">
        <v>3821.33</v>
      </c>
      <c r="J856" s="18" t="n">
        <v>-0.3418</v>
      </c>
      <c r="K856" s="24" t="n">
        <v>100</v>
      </c>
      <c r="L856" s="4" t="n">
        <v>12</v>
      </c>
      <c r="M856" s="4" t="inlineStr">
        <is>
          <t>media</t>
        </is>
      </c>
      <c r="N856" s="4" t="inlineStr">
        <is>
          <t>por debajo de comparables</t>
        </is>
      </c>
      <c r="O856" s="4" t="n"/>
    </row>
    <row r="857">
      <c r="A857" s="4" t="inlineStr">
        <is>
          <t>MD-0421</t>
        </is>
      </c>
      <c r="B857" s="21" t="n">
        <v>46049</v>
      </c>
      <c r="C857" s="4" t="inlineStr">
        <is>
          <t>Hortaleza</t>
        </is>
      </c>
      <c r="D857" s="4" t="n">
        <v>107</v>
      </c>
      <c r="E857" s="4" t="inlineStr">
        <is>
          <t>a reformar</t>
        </is>
      </c>
      <c r="F857" s="22" t="n">
        <v>345000</v>
      </c>
      <c r="G857" s="23" t="n">
        <v>3224.3</v>
      </c>
      <c r="H857" s="22" t="n">
        <v>484561</v>
      </c>
      <c r="I857" s="23" t="n">
        <v>4528.61</v>
      </c>
      <c r="J857" s="18" t="n">
        <v>-0.288</v>
      </c>
      <c r="K857" s="24" t="n">
        <v>100</v>
      </c>
      <c r="L857" s="4" t="n">
        <v>20</v>
      </c>
      <c r="M857" s="4" t="inlineStr">
        <is>
          <t>media</t>
        </is>
      </c>
      <c r="N857" s="4" t="inlineStr">
        <is>
          <t>por debajo de comparables</t>
        </is>
      </c>
      <c r="O857" s="4" t="n"/>
    </row>
    <row r="858">
      <c r="A858" s="4" t="inlineStr">
        <is>
          <t>MD-1558</t>
        </is>
      </c>
      <c r="B858" s="21" t="n">
        <v>46049</v>
      </c>
      <c r="C858" s="4" t="inlineStr">
        <is>
          <t>Tetuan</t>
        </is>
      </c>
      <c r="D858" s="4" t="n">
        <v>33</v>
      </c>
      <c r="E858" s="4" t="inlineStr">
        <is>
          <t>buen estado</t>
        </is>
      </c>
      <c r="F858" s="22" t="n">
        <v>149000</v>
      </c>
      <c r="G858" s="23" t="n">
        <v>4515.15</v>
      </c>
      <c r="H858" s="22" t="n">
        <v>147919</v>
      </c>
      <c r="I858" s="23" t="n">
        <v>4482.38</v>
      </c>
      <c r="J858" s="18" t="n">
        <v>0.0073</v>
      </c>
      <c r="K858" s="24" t="n">
        <v>48.2</v>
      </c>
      <c r="L858" s="4" t="n">
        <v>8</v>
      </c>
      <c r="M858" s="4" t="inlineStr">
        <is>
          <t>media</t>
        </is>
      </c>
      <c r="N858" s="4" t="inlineStr">
        <is>
          <t>en linea con comparables</t>
        </is>
      </c>
      <c r="O858" s="4" t="n"/>
    </row>
    <row r="859">
      <c r="A859" s="4" t="inlineStr">
        <is>
          <t>MD-0801</t>
        </is>
      </c>
      <c r="B859" s="21" t="n">
        <v>46049</v>
      </c>
      <c r="C859" s="4" t="inlineStr">
        <is>
          <t>Centro</t>
        </is>
      </c>
      <c r="D859" s="4" t="n">
        <v>41</v>
      </c>
      <c r="E859" s="4" t="inlineStr">
        <is>
          <t>buen estado</t>
        </is>
      </c>
      <c r="F859" s="22" t="n">
        <v>313000</v>
      </c>
      <c r="G859" s="23" t="n">
        <v>7634.15</v>
      </c>
      <c r="H859" s="22" t="n">
        <v>262689</v>
      </c>
      <c r="I859" s="23" t="n">
        <v>6407.05</v>
      </c>
      <c r="J859" s="18" t="n">
        <v>0.1915</v>
      </c>
      <c r="K859" s="24" t="n">
        <v>2.1</v>
      </c>
      <c r="L859" s="4" t="n">
        <v>14</v>
      </c>
      <c r="M859" s="4" t="inlineStr">
        <is>
          <t>media</t>
        </is>
      </c>
      <c r="N859" s="4" t="inlineStr">
        <is>
          <t>por encima de comparables</t>
        </is>
      </c>
      <c r="O859" s="4" t="n"/>
    </row>
    <row r="860">
      <c r="A860" s="4" t="inlineStr">
        <is>
          <t>MD-0394</t>
        </is>
      </c>
      <c r="B860" s="21" t="n">
        <v>46049</v>
      </c>
      <c r="C860" s="4" t="inlineStr">
        <is>
          <t>Centro</t>
        </is>
      </c>
      <c r="D860" s="4" t="n">
        <v>59</v>
      </c>
      <c r="E860" s="4" t="inlineStr">
        <is>
          <t>buen estado</t>
        </is>
      </c>
      <c r="F860" s="22" t="n">
        <v>467000</v>
      </c>
      <c r="G860" s="23" t="n">
        <v>7915.25</v>
      </c>
      <c r="H860" s="22" t="n">
        <v>446921</v>
      </c>
      <c r="I860" s="23" t="n">
        <v>7574.93</v>
      </c>
      <c r="J860" s="18" t="n">
        <v>0.0449</v>
      </c>
      <c r="K860" s="24" t="n">
        <v>38.8</v>
      </c>
      <c r="L860" s="4" t="n">
        <v>16</v>
      </c>
      <c r="M860" s="4" t="inlineStr">
        <is>
          <t>media</t>
        </is>
      </c>
      <c r="N860" s="4" t="inlineStr">
        <is>
          <t>en linea con comparables</t>
        </is>
      </c>
      <c r="O860" s="4" t="n"/>
    </row>
    <row r="861">
      <c r="A861" s="4" t="inlineStr">
        <is>
          <t>MD-1645</t>
        </is>
      </c>
      <c r="B861" s="21" t="n">
        <v>46050</v>
      </c>
      <c r="C861" s="4" t="inlineStr">
        <is>
          <t>Ciudad Lineal</t>
        </is>
      </c>
      <c r="D861" s="4" t="n">
        <v>42</v>
      </c>
      <c r="E861" s="4" t="inlineStr">
        <is>
          <t>a reformar</t>
        </is>
      </c>
      <c r="F861" s="22" t="n">
        <v>170000</v>
      </c>
      <c r="G861" s="23" t="n">
        <v>4047.62</v>
      </c>
      <c r="H861" s="22" t="n">
        <v>173902</v>
      </c>
      <c r="I861" s="23" t="n">
        <v>4140.53</v>
      </c>
      <c r="J861" s="18" t="n">
        <v>-0.0224</v>
      </c>
      <c r="K861" s="24" t="n">
        <v>55.6</v>
      </c>
      <c r="L861" s="4" t="n">
        <v>12</v>
      </c>
      <c r="M861" s="4" t="inlineStr">
        <is>
          <t>media</t>
        </is>
      </c>
      <c r="N861" s="4" t="inlineStr">
        <is>
          <t>en linea con comparables</t>
        </is>
      </c>
      <c r="O861" s="4" t="n"/>
    </row>
    <row r="862">
      <c r="A862" s="4" t="inlineStr">
        <is>
          <t>MD-1911</t>
        </is>
      </c>
      <c r="B862" s="21" t="n">
        <v>46051</v>
      </c>
      <c r="C862" s="4" t="inlineStr">
        <is>
          <t>Tetuan</t>
        </is>
      </c>
      <c r="D862" s="4" t="n">
        <v>145</v>
      </c>
      <c r="E862" s="4" t="inlineStr">
        <is>
          <t>buen estado</t>
        </is>
      </c>
      <c r="F862" s="22" t="n">
        <v>743000</v>
      </c>
      <c r="G862" s="23" t="n">
        <v>5124.14</v>
      </c>
      <c r="H862" s="22" t="n"/>
      <c r="I862" s="23" t="n"/>
      <c r="J862" s="18" t="n"/>
      <c r="K862" s="24" t="n"/>
      <c r="L862" s="4" t="n">
        <v>4</v>
      </c>
      <c r="M862" s="4" t="inlineStr">
        <is>
          <t>sin muestra</t>
        </is>
      </c>
      <c r="N862" s="4" t="inlineStr">
        <is>
          <t>no valorable</t>
        </is>
      </c>
      <c r="O862" s="4" t="inlineStr">
        <is>
          <t>segmento con pocas operaciones comparables</t>
        </is>
      </c>
    </row>
    <row r="863">
      <c r="A863" s="4" t="inlineStr">
        <is>
          <t>MD-1619</t>
        </is>
      </c>
      <c r="B863" s="21" t="n">
        <v>46051</v>
      </c>
      <c r="C863" s="4" t="inlineStr">
        <is>
          <t>Tetuan</t>
        </is>
      </c>
      <c r="D863" s="4" t="n">
        <v>69</v>
      </c>
      <c r="E863" s="4" t="inlineStr">
        <is>
          <t>a reformar</t>
        </is>
      </c>
      <c r="F863" s="22" t="n">
        <v>311000</v>
      </c>
      <c r="G863" s="23" t="n">
        <v>4507.25</v>
      </c>
      <c r="H863" s="22" t="n">
        <v>302029</v>
      </c>
      <c r="I863" s="23" t="n">
        <v>4377.23</v>
      </c>
      <c r="J863" s="18" t="n">
        <v>0.0297</v>
      </c>
      <c r="K863" s="24" t="n">
        <v>42.6</v>
      </c>
      <c r="L863" s="4" t="n">
        <v>16</v>
      </c>
      <c r="M863" s="4" t="inlineStr">
        <is>
          <t>media</t>
        </is>
      </c>
      <c r="N863" s="4" t="inlineStr">
        <is>
          <t>en linea con comparables</t>
        </is>
      </c>
      <c r="O863" s="4" t="n"/>
    </row>
    <row r="864">
      <c r="A864" s="4" t="inlineStr">
        <is>
          <t>MD-1413</t>
        </is>
      </c>
      <c r="B864" s="21" t="n">
        <v>46051</v>
      </c>
      <c r="C864" s="4" t="inlineStr">
        <is>
          <t>Puente de Vallecas</t>
        </is>
      </c>
      <c r="D864" s="4" t="n">
        <v>73</v>
      </c>
      <c r="E864" s="4" t="inlineStr">
        <is>
          <t>reformado</t>
        </is>
      </c>
      <c r="F864" s="22" t="n">
        <v>176000</v>
      </c>
      <c r="G864" s="23" t="n">
        <v>2410.96</v>
      </c>
      <c r="H864" s="22" t="n">
        <v>201480</v>
      </c>
      <c r="I864" s="23" t="n">
        <v>2760</v>
      </c>
      <c r="J864" s="18" t="n">
        <v>-0.1265</v>
      </c>
      <c r="K864" s="24" t="n">
        <v>81.59999999999999</v>
      </c>
      <c r="L864" s="4" t="n">
        <v>33</v>
      </c>
      <c r="M864" s="4" t="inlineStr">
        <is>
          <t>alta</t>
        </is>
      </c>
      <c r="N864" s="4" t="inlineStr">
        <is>
          <t>por debajo de comparables</t>
        </is>
      </c>
      <c r="O864" s="4" t="n"/>
    </row>
    <row r="865">
      <c r="A865" s="4" t="inlineStr">
        <is>
          <t>MD-1595</t>
        </is>
      </c>
      <c r="B865" s="21" t="n">
        <v>46052</v>
      </c>
      <c r="C865" s="4" t="inlineStr">
        <is>
          <t>Tetuan</t>
        </is>
      </c>
      <c r="D865" s="4" t="n">
        <v>86</v>
      </c>
      <c r="E865" s="4" t="inlineStr">
        <is>
          <t>buen estado</t>
        </is>
      </c>
      <c r="F865" s="22" t="n">
        <v>493000</v>
      </c>
      <c r="G865" s="23" t="n">
        <v>5732.56</v>
      </c>
      <c r="H865" s="22" t="n">
        <v>396697</v>
      </c>
      <c r="I865" s="23" t="n">
        <v>4612.75</v>
      </c>
      <c r="J865" s="18" t="n">
        <v>0.2428</v>
      </c>
      <c r="K865" s="24" t="n">
        <v>0</v>
      </c>
      <c r="L865" s="4" t="n">
        <v>14</v>
      </c>
      <c r="M865" s="4" t="inlineStr">
        <is>
          <t>media</t>
        </is>
      </c>
      <c r="N865" s="4" t="inlineStr">
        <is>
          <t>por encima de comparables</t>
        </is>
      </c>
      <c r="O865" s="4" t="n"/>
    </row>
    <row r="866">
      <c r="A866" s="4" t="inlineStr">
        <is>
          <t>MD-0813</t>
        </is>
      </c>
      <c r="B866" s="21" t="n">
        <v>46052</v>
      </c>
      <c r="C866" s="4" t="inlineStr">
        <is>
          <t>Villaverde</t>
        </is>
      </c>
      <c r="D866" s="4" t="n">
        <v>46</v>
      </c>
      <c r="E866" s="4" t="inlineStr">
        <is>
          <t>buen estado</t>
        </is>
      </c>
      <c r="F866" s="22" t="n">
        <v>121000</v>
      </c>
      <c r="G866" s="23" t="n">
        <v>2630.43</v>
      </c>
      <c r="H866" s="22" t="n"/>
      <c r="I866" s="23" t="n"/>
      <c r="J866" s="18" t="n"/>
      <c r="K866" s="24" t="n"/>
      <c r="L866" s="4" t="n">
        <v>3</v>
      </c>
      <c r="M866" s="4" t="inlineStr">
        <is>
          <t>sin muestra</t>
        </is>
      </c>
      <c r="N866" s="4" t="inlineStr">
        <is>
          <t>no valorable</t>
        </is>
      </c>
      <c r="O866" s="4" t="inlineStr">
        <is>
          <t>segmento con pocas operaciones comparables</t>
        </is>
      </c>
    </row>
    <row r="867">
      <c r="A867" s="4" t="inlineStr">
        <is>
          <t>MD-0551</t>
        </is>
      </c>
      <c r="B867" s="21" t="n">
        <v>46052</v>
      </c>
      <c r="C867" s="4" t="inlineStr">
        <is>
          <t>Arganzuela</t>
        </is>
      </c>
      <c r="D867" s="4" t="n">
        <v>52</v>
      </c>
      <c r="E867" s="4" t="inlineStr">
        <is>
          <t>a reformar</t>
        </is>
      </c>
      <c r="F867" s="22" t="n">
        <v>271000</v>
      </c>
      <c r="G867" s="23" t="n">
        <v>5211.54</v>
      </c>
      <c r="H867" s="22" t="n">
        <v>269277</v>
      </c>
      <c r="I867" s="23" t="n">
        <v>5178.4</v>
      </c>
      <c r="J867" s="18" t="n">
        <v>0.0064</v>
      </c>
      <c r="K867" s="24" t="n">
        <v>48.4</v>
      </c>
      <c r="L867" s="4" t="n">
        <v>10</v>
      </c>
      <c r="M867" s="4" t="inlineStr">
        <is>
          <t>media</t>
        </is>
      </c>
      <c r="N867" s="4" t="inlineStr">
        <is>
          <t>en linea con comparables</t>
        </is>
      </c>
      <c r="O867" s="4" t="n"/>
    </row>
    <row r="868">
      <c r="A868" s="4" t="inlineStr">
        <is>
          <t>MD-0222</t>
        </is>
      </c>
      <c r="B868" s="21" t="n">
        <v>46052</v>
      </c>
      <c r="C868" s="4" t="inlineStr">
        <is>
          <t>Moncloa-Aravaca</t>
        </is>
      </c>
      <c r="D868" s="4" t="n">
        <v>78</v>
      </c>
      <c r="E868" s="4" t="inlineStr">
        <is>
          <t>a reformar</t>
        </is>
      </c>
      <c r="F868" s="22" t="n">
        <v>426000</v>
      </c>
      <c r="G868" s="23" t="n">
        <v>5461.54</v>
      </c>
      <c r="H868" s="22" t="n">
        <v>416353</v>
      </c>
      <c r="I868" s="23" t="n">
        <v>5337.85</v>
      </c>
      <c r="J868" s="18" t="n">
        <v>0.0232</v>
      </c>
      <c r="K868" s="24" t="n">
        <v>44.2</v>
      </c>
      <c r="L868" s="4" t="n">
        <v>7</v>
      </c>
      <c r="M868" s="4" t="inlineStr">
        <is>
          <t>baja</t>
        </is>
      </c>
      <c r="N868" s="4" t="inlineStr">
        <is>
          <t>en linea con comparables</t>
        </is>
      </c>
      <c r="O868" s="4" t="n"/>
    </row>
    <row r="869">
      <c r="A869" s="4" t="inlineStr">
        <is>
          <t>MD-0816</t>
        </is>
      </c>
      <c r="B869" s="21" t="n">
        <v>46053</v>
      </c>
      <c r="C869" s="4" t="inlineStr">
        <is>
          <t>San Blas-Canillejas</t>
        </is>
      </c>
      <c r="D869" s="4" t="n">
        <v>91</v>
      </c>
      <c r="E869" s="4" t="inlineStr">
        <is>
          <t>reformado</t>
        </is>
      </c>
      <c r="F869" s="22" t="n">
        <v>301000</v>
      </c>
      <c r="G869" s="23" t="n">
        <v>3307.69</v>
      </c>
      <c r="H869" s="22" t="n">
        <v>333307</v>
      </c>
      <c r="I869" s="23" t="n">
        <v>3662.71</v>
      </c>
      <c r="J869" s="18" t="n">
        <v>-0.0969</v>
      </c>
      <c r="K869" s="24" t="n">
        <v>74.2</v>
      </c>
      <c r="L869" s="4" t="n">
        <v>11</v>
      </c>
      <c r="M869" s="4" t="inlineStr">
        <is>
          <t>media</t>
        </is>
      </c>
      <c r="N869" s="4" t="inlineStr">
        <is>
          <t>en linea con comparables</t>
        </is>
      </c>
      <c r="O869" s="4" t="n"/>
    </row>
    <row r="870">
      <c r="A870" s="4" t="inlineStr">
        <is>
          <t>MD-0416</t>
        </is>
      </c>
      <c r="B870" s="21" t="n">
        <v>46053</v>
      </c>
      <c r="C870" s="4" t="inlineStr">
        <is>
          <t>Salamanca</t>
        </is>
      </c>
      <c r="D870" s="4" t="n">
        <v>44</v>
      </c>
      <c r="E870" s="4" t="inlineStr">
        <is>
          <t>buen estado</t>
        </is>
      </c>
      <c r="F870" s="22" t="n">
        <v>318000</v>
      </c>
      <c r="G870" s="23" t="n">
        <v>7227.27</v>
      </c>
      <c r="H870" s="22" t="n">
        <v>347347</v>
      </c>
      <c r="I870" s="23" t="n">
        <v>7894.26</v>
      </c>
      <c r="J870" s="18" t="n">
        <v>-0.08450000000000001</v>
      </c>
      <c r="K870" s="24" t="n">
        <v>71.09999999999999</v>
      </c>
      <c r="L870" s="4" t="n">
        <v>9</v>
      </c>
      <c r="M870" s="4" t="inlineStr">
        <is>
          <t>media</t>
        </is>
      </c>
      <c r="N870" s="4" t="inlineStr">
        <is>
          <t>en linea con comparables</t>
        </is>
      </c>
      <c r="O870" s="4" t="n"/>
    </row>
    <row r="871">
      <c r="A871" s="4" t="inlineStr">
        <is>
          <t>MD-1725</t>
        </is>
      </c>
      <c r="B871" s="21" t="n">
        <v>46054</v>
      </c>
      <c r="C871" s="4" t="inlineStr">
        <is>
          <t>Latina</t>
        </is>
      </c>
      <c r="D871" s="4" t="n">
        <v>62</v>
      </c>
      <c r="E871" s="4" t="inlineStr">
        <is>
          <t>a reformar</t>
        </is>
      </c>
      <c r="F871" s="22" t="n">
        <v>207000</v>
      </c>
      <c r="G871" s="23" t="n">
        <v>3338.71</v>
      </c>
      <c r="H871" s="22" t="n">
        <v>172348</v>
      </c>
      <c r="I871" s="23" t="n">
        <v>2779.81</v>
      </c>
      <c r="J871" s="18" t="n">
        <v>0.2011</v>
      </c>
      <c r="K871" s="24" t="n">
        <v>0</v>
      </c>
      <c r="L871" s="4" t="n">
        <v>27</v>
      </c>
      <c r="M871" s="4" t="inlineStr">
        <is>
          <t>media</t>
        </is>
      </c>
      <c r="N871" s="4" t="inlineStr">
        <is>
          <t>por encima de comparables</t>
        </is>
      </c>
      <c r="O871" s="4" t="n"/>
    </row>
    <row r="872">
      <c r="A872" s="4" t="inlineStr">
        <is>
          <t>MD-1845</t>
        </is>
      </c>
      <c r="B872" s="21" t="n">
        <v>46054</v>
      </c>
      <c r="C872" s="4" t="inlineStr">
        <is>
          <t>Carabanchel</t>
        </is>
      </c>
      <c r="D872" s="4" t="n">
        <v>42</v>
      </c>
      <c r="E872" s="4" t="inlineStr">
        <is>
          <t>obra nueva</t>
        </is>
      </c>
      <c r="F872" s="22" t="n">
        <v>170000</v>
      </c>
      <c r="G872" s="23" t="n">
        <v>4047.62</v>
      </c>
      <c r="H872" s="22" t="n">
        <v>133814</v>
      </c>
      <c r="I872" s="23" t="n">
        <v>3186.05</v>
      </c>
      <c r="J872" s="18" t="n">
        <v>0.2704</v>
      </c>
      <c r="K872" s="24" t="n">
        <v>0</v>
      </c>
      <c r="L872" s="4" t="n">
        <v>9</v>
      </c>
      <c r="M872" s="4" t="inlineStr">
        <is>
          <t>media</t>
        </is>
      </c>
      <c r="N872" s="4" t="inlineStr">
        <is>
          <t>por encima de comparables</t>
        </is>
      </c>
      <c r="O872" s="4" t="n"/>
    </row>
    <row r="873">
      <c r="A873" s="4" t="inlineStr">
        <is>
          <t>MD-1963</t>
        </is>
      </c>
      <c r="B873" s="21" t="n">
        <v>46054</v>
      </c>
      <c r="C873" s="4" t="inlineStr">
        <is>
          <t>Hortaleza</t>
        </is>
      </c>
      <c r="D873" s="4" t="n">
        <v>154</v>
      </c>
      <c r="E873" s="4" t="inlineStr">
        <is>
          <t>buen estado</t>
        </is>
      </c>
      <c r="F873" s="22" t="n">
        <v>664000</v>
      </c>
      <c r="G873" s="23" t="n">
        <v>4311.69</v>
      </c>
      <c r="H873" s="22" t="n">
        <v>819598</v>
      </c>
      <c r="I873" s="23" t="n">
        <v>5322.06</v>
      </c>
      <c r="J873" s="18" t="n">
        <v>-0.1898</v>
      </c>
      <c r="K873" s="24" t="n">
        <v>97.5</v>
      </c>
      <c r="L873" s="4" t="n">
        <v>18</v>
      </c>
      <c r="M873" s="4" t="inlineStr">
        <is>
          <t>media</t>
        </is>
      </c>
      <c r="N873" s="4" t="inlineStr">
        <is>
          <t>por debajo de comparables</t>
        </is>
      </c>
      <c r="O873" s="4" t="n"/>
    </row>
    <row r="874">
      <c r="A874" s="4" t="inlineStr">
        <is>
          <t>MD-1850</t>
        </is>
      </c>
      <c r="B874" s="21" t="n">
        <v>46054</v>
      </c>
      <c r="C874" s="4" t="inlineStr">
        <is>
          <t>San Blas-Canillejas</t>
        </is>
      </c>
      <c r="D874" s="4" t="n">
        <v>152</v>
      </c>
      <c r="E874" s="4" t="inlineStr">
        <is>
          <t>buen estado</t>
        </is>
      </c>
      <c r="F874" s="22" t="n">
        <v>509000</v>
      </c>
      <c r="G874" s="23" t="n">
        <v>3348.68</v>
      </c>
      <c r="H874" s="22" t="n">
        <v>500971</v>
      </c>
      <c r="I874" s="23" t="n">
        <v>3295.86</v>
      </c>
      <c r="J874" s="18" t="n">
        <v>0.016</v>
      </c>
      <c r="K874" s="24" t="n">
        <v>46</v>
      </c>
      <c r="L874" s="4" t="n">
        <v>6</v>
      </c>
      <c r="M874" s="4" t="inlineStr">
        <is>
          <t>baja</t>
        </is>
      </c>
      <c r="N874" s="4" t="inlineStr">
        <is>
          <t>en linea con comparables</t>
        </is>
      </c>
      <c r="O874" s="4" t="n"/>
    </row>
    <row r="875">
      <c r="A875" s="4" t="inlineStr">
        <is>
          <t>MD-0947</t>
        </is>
      </c>
      <c r="B875" s="21" t="n">
        <v>46054</v>
      </c>
      <c r="C875" s="4" t="inlineStr">
        <is>
          <t>Moratalaz</t>
        </is>
      </c>
      <c r="D875" s="4" t="n">
        <v>47</v>
      </c>
      <c r="E875" s="4" t="inlineStr">
        <is>
          <t>a reformar</t>
        </is>
      </c>
      <c r="F875" s="22" t="n">
        <v>135000</v>
      </c>
      <c r="G875" s="23" t="n">
        <v>2872.34</v>
      </c>
      <c r="H875" s="22" t="n"/>
      <c r="I875" s="23" t="n"/>
      <c r="J875" s="18" t="n"/>
      <c r="K875" s="24" t="n"/>
      <c r="L875" s="4" t="n">
        <v>2</v>
      </c>
      <c r="M875" s="4" t="inlineStr">
        <is>
          <t>sin muestra</t>
        </is>
      </c>
      <c r="N875" s="4" t="inlineStr">
        <is>
          <t>no valorable</t>
        </is>
      </c>
      <c r="O875" s="4" t="inlineStr">
        <is>
          <t>segmento con pocas operaciones comparables</t>
        </is>
      </c>
    </row>
    <row r="876">
      <c r="A876" s="4" t="inlineStr">
        <is>
          <t>MD-0680</t>
        </is>
      </c>
      <c r="B876" s="21" t="n">
        <v>46054</v>
      </c>
      <c r="C876" s="4" t="inlineStr">
        <is>
          <t>Centro</t>
        </is>
      </c>
      <c r="D876" s="4" t="n">
        <v>111</v>
      </c>
      <c r="E876" s="4" t="inlineStr">
        <is>
          <t>a reformar</t>
        </is>
      </c>
      <c r="F876" s="22" t="n">
        <v>578000</v>
      </c>
      <c r="G876" s="23" t="n">
        <v>5207.21</v>
      </c>
      <c r="H876" s="22" t="n">
        <v>658288</v>
      </c>
      <c r="I876" s="23" t="n">
        <v>5930.52</v>
      </c>
      <c r="J876" s="18" t="n">
        <v>-0.122</v>
      </c>
      <c r="K876" s="24" t="n">
        <v>80.5</v>
      </c>
      <c r="L876" s="4" t="n">
        <v>10</v>
      </c>
      <c r="M876" s="4" t="inlineStr">
        <is>
          <t>media</t>
        </is>
      </c>
      <c r="N876" s="4" t="inlineStr">
        <is>
          <t>por debajo de comparables</t>
        </is>
      </c>
      <c r="O876" s="4" t="n"/>
    </row>
    <row r="877">
      <c r="A877" s="4" t="inlineStr">
        <is>
          <t>MD-0305</t>
        </is>
      </c>
      <c r="B877" s="21" t="n">
        <v>46054</v>
      </c>
      <c r="C877" s="4" t="inlineStr">
        <is>
          <t>Vicalvaro</t>
        </is>
      </c>
      <c r="D877" s="4" t="n">
        <v>184</v>
      </c>
      <c r="E877" s="4" t="inlineStr">
        <is>
          <t>reformado</t>
        </is>
      </c>
      <c r="F877" s="22" t="n">
        <v>842000</v>
      </c>
      <c r="G877" s="23" t="n">
        <v>4576.09</v>
      </c>
      <c r="H877" s="22" t="n">
        <v>738273</v>
      </c>
      <c r="I877" s="23" t="n">
        <v>4012.35</v>
      </c>
      <c r="J877" s="18" t="n">
        <v>0.1405</v>
      </c>
      <c r="K877" s="24" t="n">
        <v>14.9</v>
      </c>
      <c r="L877" s="4" t="n">
        <v>11</v>
      </c>
      <c r="M877" s="4" t="inlineStr">
        <is>
          <t>media</t>
        </is>
      </c>
      <c r="N877" s="4" t="inlineStr">
        <is>
          <t>por encima de comparables</t>
        </is>
      </c>
      <c r="O877" s="4" t="n"/>
    </row>
    <row r="878">
      <c r="A878" s="4" t="inlineStr">
        <is>
          <t>MD-1589</t>
        </is>
      </c>
      <c r="B878" s="21" t="n">
        <v>46054</v>
      </c>
      <c r="C878" s="4" t="inlineStr">
        <is>
          <t>Carabanchel</t>
        </is>
      </c>
      <c r="D878" s="4" t="n">
        <v>174</v>
      </c>
      <c r="E878" s="4" t="inlineStr">
        <is>
          <t>a reformar</t>
        </is>
      </c>
      <c r="F878" s="22" t="n">
        <v>465000</v>
      </c>
      <c r="G878" s="23" t="n">
        <v>2672.41</v>
      </c>
      <c r="H878" s="22" t="n">
        <v>541793</v>
      </c>
      <c r="I878" s="23" t="n">
        <v>3113.75</v>
      </c>
      <c r="J878" s="18" t="n">
        <v>-0.1417</v>
      </c>
      <c r="K878" s="24" t="n">
        <v>85.40000000000001</v>
      </c>
      <c r="L878" s="4" t="n">
        <v>5</v>
      </c>
      <c r="M878" s="4" t="inlineStr">
        <is>
          <t>baja</t>
        </is>
      </c>
      <c r="N878" s="4" t="inlineStr">
        <is>
          <t>por debajo de comparables</t>
        </is>
      </c>
      <c r="O878" s="4" t="n"/>
    </row>
    <row r="879">
      <c r="A879" s="4" t="inlineStr">
        <is>
          <t>MD-1210</t>
        </is>
      </c>
      <c r="B879" s="21" t="n">
        <v>46055</v>
      </c>
      <c r="C879" s="4" t="inlineStr">
        <is>
          <t>Fuencarral-El Pardo</t>
        </is>
      </c>
      <c r="D879" s="4" t="n">
        <v>70</v>
      </c>
      <c r="E879" s="4" t="inlineStr">
        <is>
          <t>buen estado</t>
        </is>
      </c>
      <c r="F879" s="22" t="n">
        <v>388000</v>
      </c>
      <c r="G879" s="23" t="n">
        <v>5542.86</v>
      </c>
      <c r="H879" s="22" t="n">
        <v>370599</v>
      </c>
      <c r="I879" s="23" t="n">
        <v>5294.27</v>
      </c>
      <c r="J879" s="18" t="n">
        <v>0.047</v>
      </c>
      <c r="K879" s="24" t="n">
        <v>38.3</v>
      </c>
      <c r="L879" s="4" t="n">
        <v>15</v>
      </c>
      <c r="M879" s="4" t="inlineStr">
        <is>
          <t>alta</t>
        </is>
      </c>
      <c r="N879" s="4" t="inlineStr">
        <is>
          <t>en linea con comparables</t>
        </is>
      </c>
      <c r="O879" s="4" t="n"/>
    </row>
    <row r="880">
      <c r="A880" s="4" t="inlineStr">
        <is>
          <t>MD-1445</t>
        </is>
      </c>
      <c r="B880" s="21" t="n">
        <v>46055</v>
      </c>
      <c r="C880" s="4" t="inlineStr">
        <is>
          <t>Centro</t>
        </is>
      </c>
      <c r="D880" s="4" t="n">
        <v>41</v>
      </c>
      <c r="E880" s="4" t="inlineStr">
        <is>
          <t>obra nueva</t>
        </is>
      </c>
      <c r="F880" s="22" t="n">
        <v>342000</v>
      </c>
      <c r="G880" s="23" t="n">
        <v>8341.459999999999</v>
      </c>
      <c r="H880" s="22" t="n">
        <v>344098</v>
      </c>
      <c r="I880" s="23" t="n">
        <v>8392.639999999999</v>
      </c>
      <c r="J880" s="18" t="n">
        <v>-0.0061</v>
      </c>
      <c r="K880" s="24" t="n">
        <v>51.5</v>
      </c>
      <c r="L880" s="4" t="n">
        <v>15</v>
      </c>
      <c r="M880" s="4" t="inlineStr">
        <is>
          <t>media</t>
        </is>
      </c>
      <c r="N880" s="4" t="inlineStr">
        <is>
          <t>en linea con comparables</t>
        </is>
      </c>
      <c r="O880" s="4" t="n"/>
    </row>
    <row r="881">
      <c r="A881" s="4" t="inlineStr">
        <is>
          <t>MD-1292</t>
        </is>
      </c>
      <c r="B881" s="21" t="n">
        <v>46055</v>
      </c>
      <c r="C881" s="4" t="inlineStr">
        <is>
          <t>Moratalaz</t>
        </is>
      </c>
      <c r="D881" s="4" t="n">
        <v>86</v>
      </c>
      <c r="E881" s="4" t="inlineStr">
        <is>
          <t>buen estado</t>
        </is>
      </c>
      <c r="F881" s="22" t="n">
        <v>335000</v>
      </c>
      <c r="G881" s="23" t="n">
        <v>3895.35</v>
      </c>
      <c r="H881" s="22" t="n">
        <v>317901</v>
      </c>
      <c r="I881" s="23" t="n">
        <v>3696.52</v>
      </c>
      <c r="J881" s="18" t="n">
        <v>0.0538</v>
      </c>
      <c r="K881" s="24" t="n">
        <v>36.6</v>
      </c>
      <c r="L881" s="4" t="n">
        <v>10</v>
      </c>
      <c r="M881" s="4" t="inlineStr">
        <is>
          <t>media</t>
        </is>
      </c>
      <c r="N881" s="4" t="inlineStr">
        <is>
          <t>en linea con comparables</t>
        </is>
      </c>
      <c r="O881" s="4" t="n"/>
    </row>
    <row r="882">
      <c r="A882" s="4" t="inlineStr">
        <is>
          <t>MD-0660</t>
        </is>
      </c>
      <c r="B882" s="21" t="n">
        <v>46056</v>
      </c>
      <c r="C882" s="4" t="inlineStr">
        <is>
          <t>Ciudad Lineal</t>
        </is>
      </c>
      <c r="D882" s="4" t="n">
        <v>40</v>
      </c>
      <c r="E882" s="4" t="inlineStr">
        <is>
          <t>reformado</t>
        </is>
      </c>
      <c r="F882" s="22" t="n">
        <v>178000</v>
      </c>
      <c r="G882" s="23" t="n">
        <v>4450</v>
      </c>
      <c r="H882" s="22" t="n">
        <v>183391</v>
      </c>
      <c r="I882" s="23" t="n">
        <v>4584.79</v>
      </c>
      <c r="J882" s="18" t="n">
        <v>-0.0294</v>
      </c>
      <c r="K882" s="24" t="n">
        <v>57.3</v>
      </c>
      <c r="L882" s="4" t="n">
        <v>11</v>
      </c>
      <c r="M882" s="4" t="inlineStr">
        <is>
          <t>media</t>
        </is>
      </c>
      <c r="N882" s="4" t="inlineStr">
        <is>
          <t>en linea con comparables</t>
        </is>
      </c>
      <c r="O882" s="4" t="n"/>
    </row>
    <row r="883">
      <c r="A883" s="4" t="inlineStr">
        <is>
          <t>MD-1198</t>
        </is>
      </c>
      <c r="B883" s="21" t="n">
        <v>46056</v>
      </c>
      <c r="C883" s="4" t="inlineStr">
        <is>
          <t>Arganzuela</t>
        </is>
      </c>
      <c r="D883" s="4" t="n">
        <v>166</v>
      </c>
      <c r="E883" s="4" t="inlineStr">
        <is>
          <t>reformado</t>
        </is>
      </c>
      <c r="F883" s="22" t="n">
        <v>931000</v>
      </c>
      <c r="G883" s="23" t="n">
        <v>5608.43</v>
      </c>
      <c r="H883" s="22" t="n">
        <v>881294</v>
      </c>
      <c r="I883" s="23" t="n">
        <v>5309</v>
      </c>
      <c r="J883" s="18" t="n">
        <v>0.0564</v>
      </c>
      <c r="K883" s="24" t="n">
        <v>35.9</v>
      </c>
      <c r="L883" s="4" t="n">
        <v>7</v>
      </c>
      <c r="M883" s="4" t="inlineStr">
        <is>
          <t>baja</t>
        </is>
      </c>
      <c r="N883" s="4" t="inlineStr">
        <is>
          <t>en linea con comparables</t>
        </is>
      </c>
      <c r="O883" s="4" t="n"/>
    </row>
    <row r="884">
      <c r="A884" s="4" t="inlineStr">
        <is>
          <t>MD-0602</t>
        </is>
      </c>
      <c r="B884" s="21" t="n">
        <v>46056</v>
      </c>
      <c r="C884" s="4" t="inlineStr">
        <is>
          <t>Vicalvaro</t>
        </is>
      </c>
      <c r="D884" s="4" t="n">
        <v>80</v>
      </c>
      <c r="E884" s="4" t="inlineStr">
        <is>
          <t>reformado</t>
        </is>
      </c>
      <c r="F884" s="22" t="n">
        <v>297000</v>
      </c>
      <c r="G884" s="23" t="n">
        <v>3712.5</v>
      </c>
      <c r="H884" s="22" t="n">
        <v>315767</v>
      </c>
      <c r="I884" s="23" t="n">
        <v>3947.09</v>
      </c>
      <c r="J884" s="18" t="n">
        <v>-0.0594</v>
      </c>
      <c r="K884" s="24" t="n">
        <v>64.90000000000001</v>
      </c>
      <c r="L884" s="4" t="n">
        <v>15</v>
      </c>
      <c r="M884" s="4" t="inlineStr">
        <is>
          <t>media</t>
        </is>
      </c>
      <c r="N884" s="4" t="inlineStr">
        <is>
          <t>en linea con comparables</t>
        </is>
      </c>
      <c r="O884" s="4" t="n"/>
    </row>
    <row r="885">
      <c r="A885" s="4" t="inlineStr">
        <is>
          <t>MD-0528</t>
        </is>
      </c>
      <c r="B885" s="21" t="n">
        <v>46057</v>
      </c>
      <c r="C885" s="4" t="inlineStr">
        <is>
          <t>Tetuan</t>
        </is>
      </c>
      <c r="D885" s="4" t="n">
        <v>29</v>
      </c>
      <c r="E885" s="4" t="inlineStr">
        <is>
          <t>reformado</t>
        </is>
      </c>
      <c r="F885" s="22" t="n">
        <v>145000</v>
      </c>
      <c r="G885" s="23" t="n">
        <v>5000</v>
      </c>
      <c r="H885" s="22" t="n">
        <v>164492</v>
      </c>
      <c r="I885" s="23" t="n">
        <v>5672.12</v>
      </c>
      <c r="J885" s="18" t="n">
        <v>-0.1185</v>
      </c>
      <c r="K885" s="24" t="n">
        <v>79.59999999999999</v>
      </c>
      <c r="L885" s="4" t="n">
        <v>5</v>
      </c>
      <c r="M885" s="4" t="inlineStr">
        <is>
          <t>baja</t>
        </is>
      </c>
      <c r="N885" s="4" t="inlineStr">
        <is>
          <t>por debajo de comparables</t>
        </is>
      </c>
      <c r="O885" s="4" t="n"/>
    </row>
    <row r="886">
      <c r="A886" s="4" t="inlineStr">
        <is>
          <t>MD-0055</t>
        </is>
      </c>
      <c r="B886" s="21" t="n">
        <v>46057</v>
      </c>
      <c r="C886" s="4" t="inlineStr">
        <is>
          <t>Latina</t>
        </is>
      </c>
      <c r="D886" s="4" t="n">
        <v>48</v>
      </c>
      <c r="E886" s="4" t="inlineStr">
        <is>
          <t>buen estado</t>
        </is>
      </c>
      <c r="F886" s="22" t="n">
        <v>141000</v>
      </c>
      <c r="G886" s="23" t="n">
        <v>2937.5</v>
      </c>
      <c r="H886" s="22" t="n">
        <v>120431</v>
      </c>
      <c r="I886" s="23" t="n">
        <v>2508.99</v>
      </c>
      <c r="J886" s="18" t="n">
        <v>0.1708</v>
      </c>
      <c r="K886" s="24" t="n">
        <v>7.3</v>
      </c>
      <c r="L886" s="4" t="n">
        <v>17</v>
      </c>
      <c r="M886" s="4" t="inlineStr">
        <is>
          <t>media</t>
        </is>
      </c>
      <c r="N886" s="4" t="inlineStr">
        <is>
          <t>por encima de comparables</t>
        </is>
      </c>
      <c r="O886" s="4" t="n"/>
    </row>
    <row r="887">
      <c r="A887" s="4" t="inlineStr">
        <is>
          <t>MD-1505</t>
        </is>
      </c>
      <c r="B887" s="21" t="n">
        <v>46057</v>
      </c>
      <c r="C887" s="4" t="inlineStr">
        <is>
          <t>Centro</t>
        </is>
      </c>
      <c r="D887" s="4" t="n">
        <v>39</v>
      </c>
      <c r="E887" s="4" t="inlineStr">
        <is>
          <t>buen estado</t>
        </is>
      </c>
      <c r="F887" s="22" t="n">
        <v>223000</v>
      </c>
      <c r="G887" s="23" t="n">
        <v>5717.95</v>
      </c>
      <c r="H887" s="22" t="n">
        <v>265009</v>
      </c>
      <c r="I887" s="23" t="n">
        <v>6795.09</v>
      </c>
      <c r="J887" s="18" t="n">
        <v>-0.1585</v>
      </c>
      <c r="K887" s="24" t="n">
        <v>89.59999999999999</v>
      </c>
      <c r="L887" s="4" t="n">
        <v>14</v>
      </c>
      <c r="M887" s="4" t="inlineStr">
        <is>
          <t>media</t>
        </is>
      </c>
      <c r="N887" s="4" t="inlineStr">
        <is>
          <t>por debajo de comparables</t>
        </is>
      </c>
      <c r="O887" s="4" t="n"/>
    </row>
    <row r="888">
      <c r="A888" s="4" t="inlineStr">
        <is>
          <t>MD-1851</t>
        </is>
      </c>
      <c r="B888" s="21" t="n">
        <v>46057</v>
      </c>
      <c r="C888" s="4" t="inlineStr">
        <is>
          <t>Centro</t>
        </is>
      </c>
      <c r="D888" s="4" t="n">
        <v>72</v>
      </c>
      <c r="E888" s="4" t="inlineStr">
        <is>
          <t>reformado</t>
        </is>
      </c>
      <c r="F888" s="22" t="n">
        <v>538000</v>
      </c>
      <c r="G888" s="23" t="n">
        <v>7472.22</v>
      </c>
      <c r="H888" s="22" t="n">
        <v>620301</v>
      </c>
      <c r="I888" s="23" t="n">
        <v>8615.290000000001</v>
      </c>
      <c r="J888" s="18" t="n">
        <v>-0.1327</v>
      </c>
      <c r="K888" s="24" t="n">
        <v>83.2</v>
      </c>
      <c r="L888" s="4" t="n">
        <v>19</v>
      </c>
      <c r="M888" s="4" t="inlineStr">
        <is>
          <t>alta</t>
        </is>
      </c>
      <c r="N888" s="4" t="inlineStr">
        <is>
          <t>por debajo de comparables</t>
        </is>
      </c>
      <c r="O888" s="4" t="n"/>
    </row>
    <row r="889">
      <c r="A889" s="4" t="inlineStr">
        <is>
          <t>MD-0877</t>
        </is>
      </c>
      <c r="B889" s="21" t="n">
        <v>46058</v>
      </c>
      <c r="C889" s="4" t="inlineStr">
        <is>
          <t>Chamartin</t>
        </is>
      </c>
      <c r="D889" s="4" t="n">
        <v>105</v>
      </c>
      <c r="E889" s="4" t="inlineStr">
        <is>
          <t>buen estado</t>
        </is>
      </c>
      <c r="F889" s="22" t="n">
        <v>902000</v>
      </c>
      <c r="G889" s="23" t="n">
        <v>8590.48</v>
      </c>
      <c r="H889" s="22" t="n">
        <v>873035</v>
      </c>
      <c r="I889" s="23" t="n">
        <v>8314.620000000001</v>
      </c>
      <c r="J889" s="18" t="n">
        <v>0.0332</v>
      </c>
      <c r="K889" s="24" t="n">
        <v>41.7</v>
      </c>
      <c r="L889" s="4" t="n">
        <v>12</v>
      </c>
      <c r="M889" s="4" t="inlineStr">
        <is>
          <t>media</t>
        </is>
      </c>
      <c r="N889" s="4" t="inlineStr">
        <is>
          <t>en linea con comparables</t>
        </is>
      </c>
      <c r="O889" s="4" t="n"/>
    </row>
    <row r="890">
      <c r="A890" s="4" t="inlineStr">
        <is>
          <t>MD-0111</t>
        </is>
      </c>
      <c r="B890" s="21" t="n">
        <v>46058</v>
      </c>
      <c r="C890" s="4" t="inlineStr">
        <is>
          <t>Hortaleza</t>
        </is>
      </c>
      <c r="D890" s="4" t="n">
        <v>128</v>
      </c>
      <c r="E890" s="4" t="inlineStr">
        <is>
          <t>reformado</t>
        </is>
      </c>
      <c r="F890" s="22" t="n">
        <v>980000</v>
      </c>
      <c r="G890" s="23" t="n">
        <v>7656.25</v>
      </c>
      <c r="H890" s="22" t="n">
        <v>732197</v>
      </c>
      <c r="I890" s="23" t="n">
        <v>5720.29</v>
      </c>
      <c r="J890" s="18" t="n">
        <v>0.3384</v>
      </c>
      <c r="K890" s="24" t="n">
        <v>0</v>
      </c>
      <c r="L890" s="4" t="n">
        <v>19</v>
      </c>
      <c r="M890" s="4" t="inlineStr">
        <is>
          <t>media</t>
        </is>
      </c>
      <c r="N890" s="4" t="inlineStr">
        <is>
          <t>por encima de comparables</t>
        </is>
      </c>
      <c r="O890" s="4" t="n"/>
    </row>
    <row r="891">
      <c r="A891" s="4" t="inlineStr">
        <is>
          <t>MD-1869</t>
        </is>
      </c>
      <c r="B891" s="21" t="n">
        <v>46058</v>
      </c>
      <c r="C891" s="4" t="inlineStr">
        <is>
          <t>San Blas-Canillejas</t>
        </is>
      </c>
      <c r="D891" s="4" t="n">
        <v>94</v>
      </c>
      <c r="E891" s="4" t="inlineStr">
        <is>
          <t>buen estado</t>
        </is>
      </c>
      <c r="F891" s="22" t="n">
        <v>495000</v>
      </c>
      <c r="G891" s="23" t="n">
        <v>5265.96</v>
      </c>
      <c r="H891" s="22" t="n">
        <v>347564</v>
      </c>
      <c r="I891" s="23" t="n">
        <v>3697.49</v>
      </c>
      <c r="J891" s="18" t="n">
        <v>0.4242</v>
      </c>
      <c r="K891" s="24" t="n">
        <v>0</v>
      </c>
      <c r="L891" s="4" t="n">
        <v>15</v>
      </c>
      <c r="M891" s="4" t="inlineStr">
        <is>
          <t>alta</t>
        </is>
      </c>
      <c r="N891" s="4" t="inlineStr">
        <is>
          <t>por encima de comparables</t>
        </is>
      </c>
      <c r="O891" s="4" t="n"/>
    </row>
    <row r="892">
      <c r="A892" s="4" t="inlineStr">
        <is>
          <t>MD-1777</t>
        </is>
      </c>
      <c r="B892" s="21" t="n">
        <v>46058</v>
      </c>
      <c r="C892" s="4" t="inlineStr">
        <is>
          <t>Latina</t>
        </is>
      </c>
      <c r="D892" s="4" t="n">
        <v>60</v>
      </c>
      <c r="E892" s="4" t="inlineStr">
        <is>
          <t>reformado</t>
        </is>
      </c>
      <c r="F892" s="22" t="n">
        <v>200000</v>
      </c>
      <c r="G892" s="23" t="n">
        <v>3333.33</v>
      </c>
      <c r="H892" s="22" t="n">
        <v>206804</v>
      </c>
      <c r="I892" s="23" t="n">
        <v>3446.73</v>
      </c>
      <c r="J892" s="18" t="n">
        <v>-0.0329</v>
      </c>
      <c r="K892" s="24" t="n">
        <v>58.2</v>
      </c>
      <c r="L892" s="4" t="n">
        <v>29</v>
      </c>
      <c r="M892" s="4" t="inlineStr">
        <is>
          <t>media</t>
        </is>
      </c>
      <c r="N892" s="4" t="inlineStr">
        <is>
          <t>en linea con comparables</t>
        </is>
      </c>
      <c r="O892" s="4" t="n"/>
    </row>
    <row r="893">
      <c r="A893" s="4" t="inlineStr">
        <is>
          <t>MD-1476</t>
        </is>
      </c>
      <c r="B893" s="21" t="n">
        <v>46058</v>
      </c>
      <c r="C893" s="4" t="inlineStr">
        <is>
          <t>Chamberi</t>
        </is>
      </c>
      <c r="D893" s="4" t="n">
        <v>49</v>
      </c>
      <c r="E893" s="4" t="inlineStr">
        <is>
          <t>a reformar</t>
        </is>
      </c>
      <c r="F893" s="22" t="n">
        <v>417000</v>
      </c>
      <c r="G893" s="23" t="n">
        <v>8510.200000000001</v>
      </c>
      <c r="H893" s="22" t="n">
        <v>366127</v>
      </c>
      <c r="I893" s="23" t="n">
        <v>7471.99</v>
      </c>
      <c r="J893" s="18" t="n">
        <v>0.1389</v>
      </c>
      <c r="K893" s="24" t="n">
        <v>15.3</v>
      </c>
      <c r="L893" s="4" t="n">
        <v>7</v>
      </c>
      <c r="M893" s="4" t="inlineStr">
        <is>
          <t>baja</t>
        </is>
      </c>
      <c r="N893" s="4" t="inlineStr">
        <is>
          <t>por encima de comparables</t>
        </is>
      </c>
      <c r="O893" s="4" t="n"/>
    </row>
    <row r="894">
      <c r="A894" s="4" t="inlineStr">
        <is>
          <t>MD-0293</t>
        </is>
      </c>
      <c r="B894" s="21" t="n">
        <v>46058</v>
      </c>
      <c r="C894" s="4" t="inlineStr">
        <is>
          <t>Centro</t>
        </is>
      </c>
      <c r="D894" s="4" t="n">
        <v>30</v>
      </c>
      <c r="E894" s="4" t="inlineStr">
        <is>
          <t>buen estado</t>
        </is>
      </c>
      <c r="F894" s="22" t="n">
        <v>126000</v>
      </c>
      <c r="G894" s="23" t="n">
        <v>4200</v>
      </c>
      <c r="H894" s="22" t="n">
        <v>227494</v>
      </c>
      <c r="I894" s="23" t="n">
        <v>7583.12</v>
      </c>
      <c r="J894" s="18" t="n">
        <v>-0.4461</v>
      </c>
      <c r="K894" s="24" t="n">
        <v>100</v>
      </c>
      <c r="L894" s="4" t="n">
        <v>11</v>
      </c>
      <c r="M894" s="4" t="inlineStr">
        <is>
          <t>media</t>
        </is>
      </c>
      <c r="N894" s="4" t="inlineStr">
        <is>
          <t>por debajo de comparables</t>
        </is>
      </c>
      <c r="O894" s="4" t="n"/>
    </row>
    <row r="895">
      <c r="A895" s="4" t="inlineStr">
        <is>
          <t>MD-0899</t>
        </is>
      </c>
      <c r="B895" s="21" t="n">
        <v>46058</v>
      </c>
      <c r="C895" s="4" t="inlineStr">
        <is>
          <t>Puente de Vallecas</t>
        </is>
      </c>
      <c r="D895" s="4" t="n">
        <v>78</v>
      </c>
      <c r="E895" s="4" t="inlineStr">
        <is>
          <t>a reformar</t>
        </is>
      </c>
      <c r="F895" s="22" t="n">
        <v>195000</v>
      </c>
      <c r="G895" s="23" t="n">
        <v>2500</v>
      </c>
      <c r="H895" s="22" t="n">
        <v>171947</v>
      </c>
      <c r="I895" s="23" t="n">
        <v>2204.45</v>
      </c>
      <c r="J895" s="18" t="n">
        <v>0.1341</v>
      </c>
      <c r="K895" s="24" t="n">
        <v>16.5</v>
      </c>
      <c r="L895" s="4" t="n">
        <v>27</v>
      </c>
      <c r="M895" s="4" t="inlineStr">
        <is>
          <t>alta</t>
        </is>
      </c>
      <c r="N895" s="4" t="inlineStr">
        <is>
          <t>por encima de comparables</t>
        </is>
      </c>
      <c r="O895" s="4" t="n"/>
    </row>
    <row r="896">
      <c r="A896" s="4" t="inlineStr">
        <is>
          <t>MD-0145</t>
        </is>
      </c>
      <c r="B896" s="21" t="n">
        <v>46059</v>
      </c>
      <c r="C896" s="4" t="inlineStr">
        <is>
          <t>Fuencarral-El Pardo</t>
        </is>
      </c>
      <c r="D896" s="4" t="n">
        <v>101</v>
      </c>
      <c r="E896" s="4" t="inlineStr">
        <is>
          <t>a reformar</t>
        </is>
      </c>
      <c r="F896" s="22" t="n">
        <v>416000</v>
      </c>
      <c r="G896" s="23" t="n">
        <v>4118.81</v>
      </c>
      <c r="H896" s="22" t="n">
        <v>436520</v>
      </c>
      <c r="I896" s="23" t="n">
        <v>4321.98</v>
      </c>
      <c r="J896" s="18" t="n">
        <v>-0.047</v>
      </c>
      <c r="K896" s="24" t="n">
        <v>61.8</v>
      </c>
      <c r="L896" s="4" t="n">
        <v>19</v>
      </c>
      <c r="M896" s="4" t="inlineStr">
        <is>
          <t>alta</t>
        </is>
      </c>
      <c r="N896" s="4" t="inlineStr">
        <is>
          <t>en linea con comparables</t>
        </is>
      </c>
      <c r="O896" s="4" t="n"/>
    </row>
    <row r="897">
      <c r="A897" s="4" t="inlineStr">
        <is>
          <t>MD-0764</t>
        </is>
      </c>
      <c r="B897" s="21" t="n">
        <v>46059</v>
      </c>
      <c r="C897" s="4" t="inlineStr">
        <is>
          <t>Fuencarral-El Pardo</t>
        </is>
      </c>
      <c r="D897" s="4" t="n">
        <v>112</v>
      </c>
      <c r="E897" s="4" t="inlineStr">
        <is>
          <t>a reformar</t>
        </is>
      </c>
      <c r="F897" s="22" t="n">
        <v>525000</v>
      </c>
      <c r="G897" s="23" t="n">
        <v>4687.5</v>
      </c>
      <c r="H897" s="22" t="n">
        <v>553048</v>
      </c>
      <c r="I897" s="23" t="n">
        <v>4937.93</v>
      </c>
      <c r="J897" s="18" t="n">
        <v>-0.0507</v>
      </c>
      <c r="K897" s="24" t="n">
        <v>62.7</v>
      </c>
      <c r="L897" s="4" t="n">
        <v>14</v>
      </c>
      <c r="M897" s="4" t="inlineStr">
        <is>
          <t>media</t>
        </is>
      </c>
      <c r="N897" s="4" t="inlineStr">
        <is>
          <t>en linea con comparables</t>
        </is>
      </c>
      <c r="O897" s="4" t="n"/>
    </row>
    <row r="898">
      <c r="A898" s="4" t="inlineStr">
        <is>
          <t>MD-1921</t>
        </is>
      </c>
      <c r="B898" s="21" t="n">
        <v>46059</v>
      </c>
      <c r="C898" s="4" t="inlineStr">
        <is>
          <t>Chamartin</t>
        </is>
      </c>
      <c r="D898" s="4" t="n">
        <v>91</v>
      </c>
      <c r="E898" s="4" t="inlineStr">
        <is>
          <t>buen estado</t>
        </is>
      </c>
      <c r="F898" s="22" t="n">
        <v>724000</v>
      </c>
      <c r="G898" s="23" t="n">
        <v>7956.04</v>
      </c>
      <c r="H898" s="22" t="n">
        <v>756631</v>
      </c>
      <c r="I898" s="23" t="n">
        <v>8314.620000000001</v>
      </c>
      <c r="J898" s="18" t="n">
        <v>-0.0431</v>
      </c>
      <c r="K898" s="24" t="n">
        <v>60.8</v>
      </c>
      <c r="L898" s="4" t="n">
        <v>14</v>
      </c>
      <c r="M898" s="4" t="inlineStr">
        <is>
          <t>media</t>
        </is>
      </c>
      <c r="N898" s="4" t="inlineStr">
        <is>
          <t>en linea con comparables</t>
        </is>
      </c>
      <c r="O898" s="4" t="n"/>
    </row>
    <row r="899">
      <c r="A899" s="4" t="inlineStr">
        <is>
          <t>MD-1771</t>
        </is>
      </c>
      <c r="B899" s="21" t="n">
        <v>46061</v>
      </c>
      <c r="C899" s="4" t="inlineStr">
        <is>
          <t>Arganzuela</t>
        </is>
      </c>
      <c r="D899" s="4" t="n">
        <v>92</v>
      </c>
      <c r="E899" s="4" t="inlineStr">
        <is>
          <t>buen estado</t>
        </is>
      </c>
      <c r="F899" s="22" t="n">
        <v>587000</v>
      </c>
      <c r="G899" s="23" t="n">
        <v>6380.43</v>
      </c>
      <c r="H899" s="22" t="n">
        <v>615772</v>
      </c>
      <c r="I899" s="23" t="n">
        <v>6693.17</v>
      </c>
      <c r="J899" s="18" t="n">
        <v>-0.0467</v>
      </c>
      <c r="K899" s="24" t="n">
        <v>61.7</v>
      </c>
      <c r="L899" s="4" t="n">
        <v>11</v>
      </c>
      <c r="M899" s="4" t="inlineStr">
        <is>
          <t>media</t>
        </is>
      </c>
      <c r="N899" s="4" t="inlineStr">
        <is>
          <t>en linea con comparables</t>
        </is>
      </c>
      <c r="O899" s="4" t="n"/>
    </row>
    <row r="900">
      <c r="A900" s="4" t="inlineStr">
        <is>
          <t>MD-0278</t>
        </is>
      </c>
      <c r="B900" s="21" t="n">
        <v>46061</v>
      </c>
      <c r="C900" s="4" t="inlineStr">
        <is>
          <t>Ciudad Lineal</t>
        </is>
      </c>
      <c r="D900" s="4" t="n">
        <v>42</v>
      </c>
      <c r="E900" s="4" t="inlineStr">
        <is>
          <t>buen estado</t>
        </is>
      </c>
      <c r="F900" s="22" t="n">
        <v>269000</v>
      </c>
      <c r="G900" s="23" t="n">
        <v>6404.76</v>
      </c>
      <c r="H900" s="22" t="n">
        <v>197015</v>
      </c>
      <c r="I900" s="23" t="n">
        <v>4690.82</v>
      </c>
      <c r="J900" s="18" t="n">
        <v>0.3654</v>
      </c>
      <c r="K900" s="24" t="n">
        <v>0</v>
      </c>
      <c r="L900" s="4" t="n">
        <v>14</v>
      </c>
      <c r="M900" s="4" t="inlineStr">
        <is>
          <t>media</t>
        </is>
      </c>
      <c r="N900" s="4" t="inlineStr">
        <is>
          <t>por encima de comparables</t>
        </is>
      </c>
      <c r="O900" s="4" t="n"/>
    </row>
    <row r="901">
      <c r="A901" s="4" t="inlineStr">
        <is>
          <t>MD-0101</t>
        </is>
      </c>
      <c r="B901" s="21" t="n">
        <v>46061</v>
      </c>
      <c r="C901" s="4" t="inlineStr">
        <is>
          <t>Centro</t>
        </is>
      </c>
      <c r="D901" s="4" t="n">
        <v>97</v>
      </c>
      <c r="E901" s="4" t="inlineStr">
        <is>
          <t>buen estado</t>
        </is>
      </c>
      <c r="F901" s="22" t="n">
        <v>557000</v>
      </c>
      <c r="G901" s="23" t="n">
        <v>5742.27</v>
      </c>
      <c r="H901" s="22" t="n">
        <v>660029</v>
      </c>
      <c r="I901" s="23" t="n">
        <v>6804.42</v>
      </c>
      <c r="J901" s="18" t="n">
        <v>-0.1561</v>
      </c>
      <c r="K901" s="24" t="n">
        <v>89</v>
      </c>
      <c r="L901" s="4" t="n">
        <v>11</v>
      </c>
      <c r="M901" s="4" t="inlineStr">
        <is>
          <t>media</t>
        </is>
      </c>
      <c r="N901" s="4" t="inlineStr">
        <is>
          <t>por debajo de comparables</t>
        </is>
      </c>
      <c r="O901" s="4" t="n"/>
    </row>
    <row r="902">
      <c r="A902" s="4" t="inlineStr">
        <is>
          <t>MD-0033</t>
        </is>
      </c>
      <c r="B902" s="21" t="n">
        <v>46061</v>
      </c>
      <c r="C902" s="4" t="inlineStr">
        <is>
          <t>Villa de Vallecas</t>
        </is>
      </c>
      <c r="D902" s="4" t="n">
        <v>173</v>
      </c>
      <c r="E902" s="4" t="inlineStr">
        <is>
          <t>buen estado</t>
        </is>
      </c>
      <c r="F902" s="22" t="n">
        <v>618000</v>
      </c>
      <c r="G902" s="23" t="n">
        <v>3572.25</v>
      </c>
      <c r="H902" s="22" t="n"/>
      <c r="I902" s="23" t="n"/>
      <c r="J902" s="18" t="n"/>
      <c r="K902" s="24" t="n"/>
      <c r="L902" s="4" t="n">
        <v>2</v>
      </c>
      <c r="M902" s="4" t="inlineStr">
        <is>
          <t>sin muestra</t>
        </is>
      </c>
      <c r="N902" s="4" t="inlineStr">
        <is>
          <t>no valorable</t>
        </is>
      </c>
      <c r="O902" s="4" t="inlineStr">
        <is>
          <t>segmento con pocas operaciones comparables</t>
        </is>
      </c>
    </row>
    <row r="903">
      <c r="A903" s="4" t="inlineStr">
        <is>
          <t>MD-0086</t>
        </is>
      </c>
      <c r="B903" s="21" t="n">
        <v>46061</v>
      </c>
      <c r="C903" s="4" t="inlineStr">
        <is>
          <t>Villaverde</t>
        </is>
      </c>
      <c r="D903" s="4" t="n">
        <v>65</v>
      </c>
      <c r="E903" s="4" t="inlineStr">
        <is>
          <t>buen estado</t>
        </is>
      </c>
      <c r="F903" s="22" t="n">
        <v>118000</v>
      </c>
      <c r="G903" s="23" t="n">
        <v>1815.38</v>
      </c>
      <c r="H903" s="22" t="n"/>
      <c r="I903" s="23" t="n"/>
      <c r="J903" s="18" t="n"/>
      <c r="K903" s="24" t="n"/>
      <c r="L903" s="4" t="n">
        <v>3</v>
      </c>
      <c r="M903" s="4" t="inlineStr">
        <is>
          <t>sin muestra</t>
        </is>
      </c>
      <c r="N903" s="4" t="inlineStr">
        <is>
          <t>no valorable</t>
        </is>
      </c>
      <c r="O903" s="4" t="inlineStr">
        <is>
          <t>segmento con pocas operaciones comparables</t>
        </is>
      </c>
    </row>
    <row r="904">
      <c r="A904" s="4" t="inlineStr">
        <is>
          <t>MD-1376</t>
        </is>
      </c>
      <c r="B904" s="21" t="n">
        <v>46061</v>
      </c>
      <c r="C904" s="4" t="inlineStr">
        <is>
          <t>Moratalaz</t>
        </is>
      </c>
      <c r="D904" s="4" t="n">
        <v>58</v>
      </c>
      <c r="E904" s="4" t="inlineStr">
        <is>
          <t>buen estado</t>
        </is>
      </c>
      <c r="F904" s="22" t="n">
        <v>177000</v>
      </c>
      <c r="G904" s="23" t="n">
        <v>3051.72</v>
      </c>
      <c r="H904" s="22" t="n">
        <v>193924</v>
      </c>
      <c r="I904" s="23" t="n">
        <v>3343.51</v>
      </c>
      <c r="J904" s="18" t="n">
        <v>-0.0873</v>
      </c>
      <c r="K904" s="24" t="n">
        <v>71.8</v>
      </c>
      <c r="L904" s="4" t="n">
        <v>9</v>
      </c>
      <c r="M904" s="4" t="inlineStr">
        <is>
          <t>media</t>
        </is>
      </c>
      <c r="N904" s="4" t="inlineStr">
        <is>
          <t>en linea con comparables</t>
        </is>
      </c>
      <c r="O904" s="4" t="n"/>
    </row>
    <row r="905">
      <c r="A905" s="4" t="inlineStr">
        <is>
          <t>MD-0312</t>
        </is>
      </c>
      <c r="B905" s="21" t="n">
        <v>46062</v>
      </c>
      <c r="C905" s="4" t="inlineStr">
        <is>
          <t>Chamartin</t>
        </is>
      </c>
      <c r="D905" s="4" t="n">
        <v>66</v>
      </c>
      <c r="E905" s="4" t="inlineStr">
        <is>
          <t>buen estado</t>
        </is>
      </c>
      <c r="F905" s="22" t="n">
        <v>472000</v>
      </c>
      <c r="G905" s="23" t="n">
        <v>7151.52</v>
      </c>
      <c r="H905" s="22" t="n">
        <v>536774</v>
      </c>
      <c r="I905" s="23" t="n">
        <v>8132.94</v>
      </c>
      <c r="J905" s="18" t="n">
        <v>-0.1207</v>
      </c>
      <c r="K905" s="24" t="n">
        <v>80.2</v>
      </c>
      <c r="L905" s="4" t="n">
        <v>14</v>
      </c>
      <c r="M905" s="4" t="inlineStr">
        <is>
          <t>media</t>
        </is>
      </c>
      <c r="N905" s="4" t="inlineStr">
        <is>
          <t>por debajo de comparables</t>
        </is>
      </c>
      <c r="O905" s="4" t="n"/>
    </row>
    <row r="906">
      <c r="A906" s="4" t="inlineStr">
        <is>
          <t>MD-0038</t>
        </is>
      </c>
      <c r="B906" s="21" t="n">
        <v>46063</v>
      </c>
      <c r="C906" s="4" t="inlineStr">
        <is>
          <t>Chamartin</t>
        </is>
      </c>
      <c r="D906" s="4" t="n">
        <v>40</v>
      </c>
      <c r="E906" s="4" t="inlineStr">
        <is>
          <t>buen estado</t>
        </is>
      </c>
      <c r="F906" s="22" t="n">
        <v>266000</v>
      </c>
      <c r="G906" s="23" t="n">
        <v>6650</v>
      </c>
      <c r="H906" s="22" t="n">
        <v>316650</v>
      </c>
      <c r="I906" s="23" t="n">
        <v>7916.24</v>
      </c>
      <c r="J906" s="18" t="n">
        <v>-0.16</v>
      </c>
      <c r="K906" s="24" t="n">
        <v>90</v>
      </c>
      <c r="L906" s="4" t="n">
        <v>8</v>
      </c>
      <c r="M906" s="4" t="inlineStr">
        <is>
          <t>media</t>
        </is>
      </c>
      <c r="N906" s="4" t="inlineStr">
        <is>
          <t>por debajo de comparables</t>
        </is>
      </c>
      <c r="O906" s="4" t="n"/>
    </row>
    <row r="907">
      <c r="A907" s="4" t="inlineStr">
        <is>
          <t>MD-1598</t>
        </is>
      </c>
      <c r="B907" s="21" t="n">
        <v>46063</v>
      </c>
      <c r="C907" s="4" t="inlineStr">
        <is>
          <t>Salamanca</t>
        </is>
      </c>
      <c r="D907" s="4" t="n">
        <v>84</v>
      </c>
      <c r="E907" s="4" t="inlineStr">
        <is>
          <t>a reformar</t>
        </is>
      </c>
      <c r="F907" s="22" t="n">
        <v>767000</v>
      </c>
      <c r="G907" s="23" t="n">
        <v>9130.950000000001</v>
      </c>
      <c r="H907" s="22" t="n">
        <v>640833</v>
      </c>
      <c r="I907" s="23" t="n">
        <v>7628.96</v>
      </c>
      <c r="J907" s="18" t="n">
        <v>0.1969</v>
      </c>
      <c r="K907" s="24" t="n">
        <v>0.8</v>
      </c>
      <c r="L907" s="4" t="n">
        <v>12</v>
      </c>
      <c r="M907" s="4" t="inlineStr">
        <is>
          <t>media</t>
        </is>
      </c>
      <c r="N907" s="4" t="inlineStr">
        <is>
          <t>por encima de comparables</t>
        </is>
      </c>
      <c r="O907" s="4" t="n"/>
    </row>
    <row r="908">
      <c r="A908" s="4" t="inlineStr">
        <is>
          <t>MD-0057</t>
        </is>
      </c>
      <c r="B908" s="21" t="n">
        <v>46063</v>
      </c>
      <c r="C908" s="4" t="inlineStr">
        <is>
          <t>Salamanca</t>
        </is>
      </c>
      <c r="D908" s="4" t="n">
        <v>72</v>
      </c>
      <c r="E908" s="4" t="inlineStr">
        <is>
          <t>a reformar</t>
        </is>
      </c>
      <c r="F908" s="22" t="n">
        <v>677000</v>
      </c>
      <c r="G908" s="23" t="n">
        <v>9402.780000000001</v>
      </c>
      <c r="H908" s="22" t="n">
        <v>507049</v>
      </c>
      <c r="I908" s="23" t="n">
        <v>7042.35</v>
      </c>
      <c r="J908" s="18" t="n">
        <v>0.3352</v>
      </c>
      <c r="K908" s="24" t="n">
        <v>0</v>
      </c>
      <c r="L908" s="4" t="n">
        <v>12</v>
      </c>
      <c r="M908" s="4" t="inlineStr">
        <is>
          <t>media</t>
        </is>
      </c>
      <c r="N908" s="4" t="inlineStr">
        <is>
          <t>por encima de comparables</t>
        </is>
      </c>
      <c r="O908" s="4" t="n"/>
    </row>
    <row r="909">
      <c r="A909" s="4" t="inlineStr">
        <is>
          <t>MD-1439</t>
        </is>
      </c>
      <c r="B909" s="21" t="n">
        <v>46063</v>
      </c>
      <c r="C909" s="4" t="inlineStr">
        <is>
          <t>Ciudad Lineal</t>
        </is>
      </c>
      <c r="D909" s="4" t="n">
        <v>59</v>
      </c>
      <c r="E909" s="4" t="inlineStr">
        <is>
          <t>buen estado</t>
        </is>
      </c>
      <c r="F909" s="22" t="n">
        <v>335000</v>
      </c>
      <c r="G909" s="23" t="n">
        <v>5677.97</v>
      </c>
      <c r="H909" s="22" t="n">
        <v>306121</v>
      </c>
      <c r="I909" s="23" t="n">
        <v>5188.5</v>
      </c>
      <c r="J909" s="18" t="n">
        <v>0.09429999999999999</v>
      </c>
      <c r="K909" s="24" t="n">
        <v>26.4</v>
      </c>
      <c r="L909" s="4" t="n">
        <v>16</v>
      </c>
      <c r="M909" s="4" t="inlineStr">
        <is>
          <t>alta</t>
        </is>
      </c>
      <c r="N909" s="4" t="inlineStr">
        <is>
          <t>en linea con comparables</t>
        </is>
      </c>
      <c r="O909" s="4" t="n"/>
    </row>
    <row r="910">
      <c r="A910" s="4" t="inlineStr">
        <is>
          <t>MD-1770</t>
        </is>
      </c>
      <c r="B910" s="21" t="n">
        <v>46063</v>
      </c>
      <c r="C910" s="4" t="inlineStr">
        <is>
          <t>Hortaleza</t>
        </is>
      </c>
      <c r="D910" s="4" t="n">
        <v>122</v>
      </c>
      <c r="E910" s="4" t="inlineStr">
        <is>
          <t>a reformar</t>
        </is>
      </c>
      <c r="F910" s="22" t="n">
        <v>580000</v>
      </c>
      <c r="G910" s="23" t="n">
        <v>4754.1</v>
      </c>
      <c r="H910" s="22" t="n">
        <v>545315</v>
      </c>
      <c r="I910" s="23" t="n">
        <v>4469.8</v>
      </c>
      <c r="J910" s="18" t="n">
        <v>0.0636</v>
      </c>
      <c r="K910" s="24" t="n">
        <v>34.1</v>
      </c>
      <c r="L910" s="4" t="n">
        <v>16</v>
      </c>
      <c r="M910" s="4" t="inlineStr">
        <is>
          <t>media</t>
        </is>
      </c>
      <c r="N910" s="4" t="inlineStr">
        <is>
          <t>en linea con comparables</t>
        </is>
      </c>
      <c r="O910" s="4" t="n"/>
    </row>
    <row r="911">
      <c r="A911" s="4" t="inlineStr">
        <is>
          <t>MD-0608</t>
        </is>
      </c>
      <c r="B911" s="21" t="n">
        <v>46063</v>
      </c>
      <c r="C911" s="4" t="inlineStr">
        <is>
          <t>Carabanchel</t>
        </is>
      </c>
      <c r="D911" s="4" t="n">
        <v>64</v>
      </c>
      <c r="E911" s="4" t="inlineStr">
        <is>
          <t>obra nueva</t>
        </is>
      </c>
      <c r="F911" s="22" t="n">
        <v>266000</v>
      </c>
      <c r="G911" s="23" t="n">
        <v>4156.25</v>
      </c>
      <c r="H911" s="22" t="n">
        <v>257740</v>
      </c>
      <c r="I911" s="23" t="n">
        <v>4027.19</v>
      </c>
      <c r="J911" s="18" t="n">
        <v>0.032</v>
      </c>
      <c r="K911" s="24" t="n">
        <v>42</v>
      </c>
      <c r="L911" s="4" t="n">
        <v>23</v>
      </c>
      <c r="M911" s="4" t="inlineStr">
        <is>
          <t>alta</t>
        </is>
      </c>
      <c r="N911" s="4" t="inlineStr">
        <is>
          <t>en linea con comparables</t>
        </is>
      </c>
      <c r="O911" s="4" t="n"/>
    </row>
    <row r="912">
      <c r="A912" s="4" t="inlineStr">
        <is>
          <t>MD-0898</t>
        </is>
      </c>
      <c r="B912" s="21" t="n">
        <v>46063</v>
      </c>
      <c r="C912" s="4" t="inlineStr">
        <is>
          <t>Latina</t>
        </is>
      </c>
      <c r="D912" s="4" t="n">
        <v>75</v>
      </c>
      <c r="E912" s="4" t="inlineStr">
        <is>
          <t>a reformar</t>
        </is>
      </c>
      <c r="F912" s="22" t="n">
        <v>172000</v>
      </c>
      <c r="G912" s="23" t="n">
        <v>2293.33</v>
      </c>
      <c r="H912" s="22" t="n">
        <v>185968</v>
      </c>
      <c r="I912" s="23" t="n">
        <v>2479.58</v>
      </c>
      <c r="J912" s="18" t="n">
        <v>-0.0751</v>
      </c>
      <c r="K912" s="24" t="n">
        <v>68.8</v>
      </c>
      <c r="L912" s="4" t="n">
        <v>36</v>
      </c>
      <c r="M912" s="4" t="inlineStr">
        <is>
          <t>media</t>
        </is>
      </c>
      <c r="N912" s="4" t="inlineStr">
        <is>
          <t>en linea con comparables</t>
        </is>
      </c>
      <c r="O912" s="4" t="n"/>
    </row>
    <row r="913">
      <c r="A913" s="4" t="inlineStr">
        <is>
          <t>MD-1698</t>
        </is>
      </c>
      <c r="B913" s="21" t="n">
        <v>46063</v>
      </c>
      <c r="C913" s="4" t="inlineStr">
        <is>
          <t>Latina</t>
        </is>
      </c>
      <c r="D913" s="4" t="n">
        <v>47</v>
      </c>
      <c r="E913" s="4" t="inlineStr">
        <is>
          <t>reformado</t>
        </is>
      </c>
      <c r="F913" s="22" t="n">
        <v>198000</v>
      </c>
      <c r="G913" s="23" t="n">
        <v>4212.77</v>
      </c>
      <c r="H913" s="22" t="n">
        <v>167148</v>
      </c>
      <c r="I913" s="23" t="n">
        <v>3556.34</v>
      </c>
      <c r="J913" s="18" t="n">
        <v>0.1846</v>
      </c>
      <c r="K913" s="24" t="n">
        <v>3.9</v>
      </c>
      <c r="L913" s="4" t="n">
        <v>18</v>
      </c>
      <c r="M913" s="4" t="inlineStr">
        <is>
          <t>media</t>
        </is>
      </c>
      <c r="N913" s="4" t="inlineStr">
        <is>
          <t>por encima de comparables</t>
        </is>
      </c>
      <c r="O913" s="4" t="n"/>
    </row>
    <row r="914">
      <c r="A914" s="4" t="inlineStr">
        <is>
          <t>MD-1410</t>
        </is>
      </c>
      <c r="B914" s="21" t="n">
        <v>46064</v>
      </c>
      <c r="C914" s="4" t="inlineStr">
        <is>
          <t>Centro</t>
        </is>
      </c>
      <c r="D914" s="4" t="n">
        <v>37</v>
      </c>
      <c r="E914" s="4" t="inlineStr">
        <is>
          <t>obra nueva</t>
        </is>
      </c>
      <c r="F914" s="22" t="n">
        <v>326000</v>
      </c>
      <c r="G914" s="23" t="n">
        <v>8810.809999999999</v>
      </c>
      <c r="H914" s="22" t="n">
        <v>268229</v>
      </c>
      <c r="I914" s="23" t="n">
        <v>7249.43</v>
      </c>
      <c r="J914" s="18" t="n">
        <v>0.2154</v>
      </c>
      <c r="K914" s="24" t="n">
        <v>0</v>
      </c>
      <c r="L914" s="4" t="n">
        <v>14</v>
      </c>
      <c r="M914" s="4" t="inlineStr">
        <is>
          <t>media</t>
        </is>
      </c>
      <c r="N914" s="4" t="inlineStr">
        <is>
          <t>por encima de comparables</t>
        </is>
      </c>
      <c r="O914" s="4" t="n"/>
    </row>
    <row r="915">
      <c r="A915" s="4" t="inlineStr">
        <is>
          <t>MD-0649</t>
        </is>
      </c>
      <c r="B915" s="21" t="n">
        <v>46064</v>
      </c>
      <c r="C915" s="4" t="inlineStr">
        <is>
          <t>Retiro</t>
        </is>
      </c>
      <c r="D915" s="4" t="n">
        <v>77</v>
      </c>
      <c r="E915" s="4" t="inlineStr">
        <is>
          <t>reformado</t>
        </is>
      </c>
      <c r="F915" s="22" t="n">
        <v>551000</v>
      </c>
      <c r="G915" s="23" t="n">
        <v>7155.84</v>
      </c>
      <c r="H915" s="22" t="n">
        <v>530403</v>
      </c>
      <c r="I915" s="23" t="n">
        <v>6888.35</v>
      </c>
      <c r="J915" s="18" t="n">
        <v>0.0388</v>
      </c>
      <c r="K915" s="24" t="n">
        <v>40.3</v>
      </c>
      <c r="L915" s="4" t="n">
        <v>15</v>
      </c>
      <c r="M915" s="4" t="inlineStr">
        <is>
          <t>alta</t>
        </is>
      </c>
      <c r="N915" s="4" t="inlineStr">
        <is>
          <t>en linea con comparables</t>
        </is>
      </c>
      <c r="O915" s="4" t="n"/>
    </row>
    <row r="916">
      <c r="A916" s="4" t="inlineStr">
        <is>
          <t>MD-1424</t>
        </is>
      </c>
      <c r="B916" s="21" t="n">
        <v>46064</v>
      </c>
      <c r="C916" s="4" t="inlineStr">
        <is>
          <t>Chamartin</t>
        </is>
      </c>
      <c r="D916" s="4" t="n">
        <v>100</v>
      </c>
      <c r="E916" s="4" t="inlineStr">
        <is>
          <t>a reformar</t>
        </is>
      </c>
      <c r="F916" s="22" t="n">
        <v>579000</v>
      </c>
      <c r="G916" s="23" t="n">
        <v>5790</v>
      </c>
      <c r="H916" s="22" t="n">
        <v>635541</v>
      </c>
      <c r="I916" s="23" t="n">
        <v>6355.41</v>
      </c>
      <c r="J916" s="18" t="n">
        <v>-0.089</v>
      </c>
      <c r="K916" s="24" t="n">
        <v>72.2</v>
      </c>
      <c r="L916" s="4" t="n">
        <v>15</v>
      </c>
      <c r="M916" s="4" t="inlineStr">
        <is>
          <t>alta</t>
        </is>
      </c>
      <c r="N916" s="4" t="inlineStr">
        <is>
          <t>en linea con comparables</t>
        </is>
      </c>
      <c r="O916" s="4" t="n"/>
    </row>
    <row r="917">
      <c r="A917" s="4" t="inlineStr">
        <is>
          <t>MD-0154</t>
        </is>
      </c>
      <c r="B917" s="21" t="n">
        <v>46065</v>
      </c>
      <c r="C917" s="4" t="inlineStr">
        <is>
          <t>Vicalvaro</t>
        </is>
      </c>
      <c r="D917" s="4" t="n">
        <v>47</v>
      </c>
      <c r="E917" s="4" t="inlineStr">
        <is>
          <t>buen estado</t>
        </is>
      </c>
      <c r="F917" s="22" t="n">
        <v>152000</v>
      </c>
      <c r="G917" s="23" t="n">
        <v>3234.04</v>
      </c>
      <c r="H917" s="22" t="n"/>
      <c r="I917" s="23" t="n"/>
      <c r="J917" s="18" t="n"/>
      <c r="K917" s="24" t="n"/>
      <c r="L917" s="4" t="n">
        <v>3</v>
      </c>
      <c r="M917" s="4" t="inlineStr">
        <is>
          <t>sin muestra</t>
        </is>
      </c>
      <c r="N917" s="4" t="inlineStr">
        <is>
          <t>no valorable</t>
        </is>
      </c>
      <c r="O917" s="4" t="inlineStr">
        <is>
          <t>segmento con pocas operaciones comparables</t>
        </is>
      </c>
    </row>
    <row r="918">
      <c r="A918" s="4" t="inlineStr">
        <is>
          <t>MD-0122</t>
        </is>
      </c>
      <c r="B918" s="21" t="n">
        <v>46065</v>
      </c>
      <c r="C918" s="4" t="inlineStr">
        <is>
          <t>Puente de Vallecas</t>
        </is>
      </c>
      <c r="D918" s="4" t="n">
        <v>80</v>
      </c>
      <c r="E918" s="4" t="inlineStr">
        <is>
          <t>buen estado</t>
        </is>
      </c>
      <c r="F918" s="22" t="n">
        <v>172000</v>
      </c>
      <c r="G918" s="23" t="n">
        <v>2150</v>
      </c>
      <c r="H918" s="22" t="n">
        <v>237973</v>
      </c>
      <c r="I918" s="23" t="n">
        <v>2974.66</v>
      </c>
      <c r="J918" s="18" t="n">
        <v>-0.2772</v>
      </c>
      <c r="K918" s="24" t="n">
        <v>100</v>
      </c>
      <c r="L918" s="4" t="n">
        <v>29</v>
      </c>
      <c r="M918" s="4" t="inlineStr">
        <is>
          <t>media</t>
        </is>
      </c>
      <c r="N918" s="4" t="inlineStr">
        <is>
          <t>por debajo de comparables</t>
        </is>
      </c>
      <c r="O918" s="4" t="n"/>
    </row>
    <row r="919">
      <c r="A919" s="4" t="inlineStr">
        <is>
          <t>MD-0583</t>
        </is>
      </c>
      <c r="B919" s="21" t="n">
        <v>46065</v>
      </c>
      <c r="C919" s="4" t="inlineStr">
        <is>
          <t>Puente de Vallecas</t>
        </is>
      </c>
      <c r="D919" s="4" t="n">
        <v>90</v>
      </c>
      <c r="E919" s="4" t="inlineStr">
        <is>
          <t>buen estado</t>
        </is>
      </c>
      <c r="F919" s="22" t="n">
        <v>222000</v>
      </c>
      <c r="G919" s="23" t="n">
        <v>2466.67</v>
      </c>
      <c r="H919" s="22" t="n">
        <v>233492</v>
      </c>
      <c r="I919" s="23" t="n">
        <v>2594.35</v>
      </c>
      <c r="J919" s="18" t="n">
        <v>-0.0492</v>
      </c>
      <c r="K919" s="24" t="n">
        <v>62.3</v>
      </c>
      <c r="L919" s="4" t="n">
        <v>31</v>
      </c>
      <c r="M919" s="4" t="inlineStr">
        <is>
          <t>alta</t>
        </is>
      </c>
      <c r="N919" s="4" t="inlineStr">
        <is>
          <t>en linea con comparables</t>
        </is>
      </c>
      <c r="O919" s="4" t="n"/>
    </row>
    <row r="920">
      <c r="A920" s="4" t="inlineStr">
        <is>
          <t>MD-0625</t>
        </is>
      </c>
      <c r="B920" s="21" t="n">
        <v>46065</v>
      </c>
      <c r="C920" s="4" t="inlineStr">
        <is>
          <t>Ciudad Lineal</t>
        </is>
      </c>
      <c r="D920" s="4" t="n">
        <v>60</v>
      </c>
      <c r="E920" s="4" t="inlineStr">
        <is>
          <t>buen estado</t>
        </is>
      </c>
      <c r="F920" s="22" t="n">
        <v>268000</v>
      </c>
      <c r="G920" s="23" t="n">
        <v>4466.67</v>
      </c>
      <c r="H920" s="22" t="n">
        <v>313922</v>
      </c>
      <c r="I920" s="23" t="n">
        <v>5232.03</v>
      </c>
      <c r="J920" s="18" t="n">
        <v>-0.1463</v>
      </c>
      <c r="K920" s="24" t="n">
        <v>86.59999999999999</v>
      </c>
      <c r="L920" s="4" t="n">
        <v>17</v>
      </c>
      <c r="M920" s="4" t="inlineStr">
        <is>
          <t>alta</t>
        </is>
      </c>
      <c r="N920" s="4" t="inlineStr">
        <is>
          <t>por debajo de comparables</t>
        </is>
      </c>
      <c r="O920" s="4" t="n"/>
    </row>
    <row r="921">
      <c r="A921" s="4" t="inlineStr">
        <is>
          <t>MD-0973</t>
        </is>
      </c>
      <c r="B921" s="21" t="n">
        <v>46065</v>
      </c>
      <c r="C921" s="4" t="inlineStr">
        <is>
          <t>Vicalvaro</t>
        </is>
      </c>
      <c r="D921" s="4" t="n">
        <v>87</v>
      </c>
      <c r="E921" s="4" t="inlineStr">
        <is>
          <t>buen estado</t>
        </is>
      </c>
      <c r="F921" s="22" t="n">
        <v>271000</v>
      </c>
      <c r="G921" s="23" t="n">
        <v>3114.94</v>
      </c>
      <c r="H921" s="22" t="n">
        <v>263715</v>
      </c>
      <c r="I921" s="23" t="n">
        <v>3031.21</v>
      </c>
      <c r="J921" s="18" t="n">
        <v>0.0276</v>
      </c>
      <c r="K921" s="24" t="n">
        <v>43.1</v>
      </c>
      <c r="L921" s="4" t="n">
        <v>14</v>
      </c>
      <c r="M921" s="4" t="inlineStr">
        <is>
          <t>media</t>
        </is>
      </c>
      <c r="N921" s="4" t="inlineStr">
        <is>
          <t>en linea con comparables</t>
        </is>
      </c>
      <c r="O921" s="4" t="n"/>
    </row>
    <row r="922">
      <c r="A922" s="4" t="inlineStr">
        <is>
          <t>MD-1832</t>
        </is>
      </c>
      <c r="B922" s="21" t="n">
        <v>46065</v>
      </c>
      <c r="C922" s="4" t="inlineStr">
        <is>
          <t>Carabanchel</t>
        </is>
      </c>
      <c r="D922" s="4" t="n">
        <v>90</v>
      </c>
      <c r="E922" s="4" t="inlineStr">
        <is>
          <t>buen estado</t>
        </is>
      </c>
      <c r="F922" s="22" t="n">
        <v>279000</v>
      </c>
      <c r="G922" s="23" t="n">
        <v>3100</v>
      </c>
      <c r="H922" s="22" t="n">
        <v>286985</v>
      </c>
      <c r="I922" s="23" t="n">
        <v>3188.73</v>
      </c>
      <c r="J922" s="18" t="n">
        <v>-0.0278</v>
      </c>
      <c r="K922" s="24" t="n">
        <v>57</v>
      </c>
      <c r="L922" s="4" t="n">
        <v>15</v>
      </c>
      <c r="M922" s="4" t="inlineStr">
        <is>
          <t>alta</t>
        </is>
      </c>
      <c r="N922" s="4" t="inlineStr">
        <is>
          <t>en linea con comparables</t>
        </is>
      </c>
      <c r="O922" s="4" t="n"/>
    </row>
    <row r="923">
      <c r="A923" s="4" t="inlineStr">
        <is>
          <t>MD-0505</t>
        </is>
      </c>
      <c r="B923" s="21" t="n">
        <v>46065</v>
      </c>
      <c r="C923" s="4" t="inlineStr">
        <is>
          <t>Fuencarral-El Pardo</t>
        </is>
      </c>
      <c r="D923" s="4" t="n">
        <v>106</v>
      </c>
      <c r="E923" s="4" t="inlineStr">
        <is>
          <t>buen estado</t>
        </is>
      </c>
      <c r="F923" s="22" t="n">
        <v>526000</v>
      </c>
      <c r="G923" s="23" t="n">
        <v>4962.26</v>
      </c>
      <c r="H923" s="22" t="n">
        <v>539155</v>
      </c>
      <c r="I923" s="23" t="n">
        <v>5086.37</v>
      </c>
      <c r="J923" s="18" t="n">
        <v>-0.0244</v>
      </c>
      <c r="K923" s="24" t="n">
        <v>56.1</v>
      </c>
      <c r="L923" s="4" t="n">
        <v>19</v>
      </c>
      <c r="M923" s="4" t="inlineStr">
        <is>
          <t>alta</t>
        </is>
      </c>
      <c r="N923" s="4" t="inlineStr">
        <is>
          <t>en linea con comparables</t>
        </is>
      </c>
      <c r="O923" s="4" t="n"/>
    </row>
    <row r="924">
      <c r="A924" s="4" t="inlineStr">
        <is>
          <t>MD-1063</t>
        </is>
      </c>
      <c r="B924" s="21" t="n">
        <v>46066</v>
      </c>
      <c r="C924" s="4" t="inlineStr">
        <is>
          <t>Carabanchel</t>
        </is>
      </c>
      <c r="D924" s="4" t="n">
        <v>125</v>
      </c>
      <c r="E924" s="4" t="inlineStr">
        <is>
          <t>a reformar</t>
        </is>
      </c>
      <c r="F924" s="22" t="n">
        <v>373000</v>
      </c>
      <c r="G924" s="23" t="n">
        <v>2984</v>
      </c>
      <c r="H924" s="22" t="n"/>
      <c r="I924" s="23" t="n"/>
      <c r="J924" s="18" t="n"/>
      <c r="K924" s="24" t="n"/>
      <c r="L924" s="4" t="n">
        <v>3</v>
      </c>
      <c r="M924" s="4" t="inlineStr">
        <is>
          <t>sin muestra</t>
        </is>
      </c>
      <c r="N924" s="4" t="inlineStr">
        <is>
          <t>no valorable</t>
        </is>
      </c>
      <c r="O924" s="4" t="inlineStr">
        <is>
          <t>segmento con pocas operaciones comparables</t>
        </is>
      </c>
    </row>
    <row r="925">
      <c r="A925" s="4" t="inlineStr">
        <is>
          <t>MD-0958</t>
        </is>
      </c>
      <c r="B925" s="21" t="n">
        <v>46066</v>
      </c>
      <c r="C925" s="4" t="inlineStr">
        <is>
          <t>Villa de Vallecas</t>
        </is>
      </c>
      <c r="D925" s="4" t="n">
        <v>95</v>
      </c>
      <c r="E925" s="4" t="inlineStr">
        <is>
          <t>reformado</t>
        </is>
      </c>
      <c r="F925" s="22" t="n">
        <v>332000</v>
      </c>
      <c r="G925" s="23" t="n">
        <v>3494.74</v>
      </c>
      <c r="H925" s="22" t="n">
        <v>284083</v>
      </c>
      <c r="I925" s="23" t="n">
        <v>2990.35</v>
      </c>
      <c r="J925" s="18" t="n">
        <v>0.1687</v>
      </c>
      <c r="K925" s="24" t="n">
        <v>7.8</v>
      </c>
      <c r="L925" s="4" t="n">
        <v>8</v>
      </c>
      <c r="M925" s="4" t="inlineStr">
        <is>
          <t>media</t>
        </is>
      </c>
      <c r="N925" s="4" t="inlineStr">
        <is>
          <t>por encima de comparables</t>
        </is>
      </c>
      <c r="O925" s="4" t="n"/>
    </row>
    <row r="926">
      <c r="A926" s="4" t="inlineStr">
        <is>
          <t>MD-0754</t>
        </is>
      </c>
      <c r="B926" s="21" t="n">
        <v>46066</v>
      </c>
      <c r="C926" s="4" t="inlineStr">
        <is>
          <t>Tetuan</t>
        </is>
      </c>
      <c r="D926" s="4" t="n">
        <v>46</v>
      </c>
      <c r="E926" s="4" t="inlineStr">
        <is>
          <t>a reformar</t>
        </is>
      </c>
      <c r="F926" s="22" t="n">
        <v>255000</v>
      </c>
      <c r="G926" s="23" t="n">
        <v>5543.48</v>
      </c>
      <c r="H926" s="22" t="n">
        <v>201530</v>
      </c>
      <c r="I926" s="23" t="n">
        <v>4381.1</v>
      </c>
      <c r="J926" s="18" t="n">
        <v>0.2653</v>
      </c>
      <c r="K926" s="24" t="n">
        <v>0</v>
      </c>
      <c r="L926" s="4" t="n">
        <v>12</v>
      </c>
      <c r="M926" s="4" t="inlineStr">
        <is>
          <t>media</t>
        </is>
      </c>
      <c r="N926" s="4" t="inlineStr">
        <is>
          <t>por encima de comparables</t>
        </is>
      </c>
      <c r="O926" s="4" t="n"/>
    </row>
    <row r="927">
      <c r="A927" s="4" t="inlineStr">
        <is>
          <t>MD-1872</t>
        </is>
      </c>
      <c r="B927" s="21" t="n">
        <v>46066</v>
      </c>
      <c r="C927" s="4" t="inlineStr">
        <is>
          <t>Puente de Vallecas</t>
        </is>
      </c>
      <c r="D927" s="4" t="n">
        <v>39</v>
      </c>
      <c r="E927" s="4" t="inlineStr">
        <is>
          <t>reformado</t>
        </is>
      </c>
      <c r="F927" s="22" t="n">
        <v>121000</v>
      </c>
      <c r="G927" s="23" t="n">
        <v>3102.56</v>
      </c>
      <c r="H927" s="22" t="n">
        <v>118761</v>
      </c>
      <c r="I927" s="23" t="n">
        <v>3045.16</v>
      </c>
      <c r="J927" s="18" t="n">
        <v>0.0189</v>
      </c>
      <c r="K927" s="24" t="n">
        <v>45.3</v>
      </c>
      <c r="L927" s="4" t="n">
        <v>14</v>
      </c>
      <c r="M927" s="4" t="inlineStr">
        <is>
          <t>media</t>
        </is>
      </c>
      <c r="N927" s="4" t="inlineStr">
        <is>
          <t>en linea con comparables</t>
        </is>
      </c>
      <c r="O927" s="4" t="n"/>
    </row>
    <row r="928">
      <c r="A928" s="4" t="inlineStr">
        <is>
          <t>MD-1489</t>
        </is>
      </c>
      <c r="B928" s="21" t="n">
        <v>46066</v>
      </c>
      <c r="C928" s="4" t="inlineStr">
        <is>
          <t>Usera</t>
        </is>
      </c>
      <c r="D928" s="4" t="n">
        <v>62</v>
      </c>
      <c r="E928" s="4" t="inlineStr">
        <is>
          <t>buen estado</t>
        </is>
      </c>
      <c r="F928" s="22" t="n">
        <v>146000</v>
      </c>
      <c r="G928" s="23" t="n">
        <v>2354.84</v>
      </c>
      <c r="H928" s="22" t="n">
        <v>169742</v>
      </c>
      <c r="I928" s="23" t="n">
        <v>2737.77</v>
      </c>
      <c r="J928" s="18" t="n">
        <v>-0.1399</v>
      </c>
      <c r="K928" s="24" t="n">
        <v>85</v>
      </c>
      <c r="L928" s="4" t="n">
        <v>7</v>
      </c>
      <c r="M928" s="4" t="inlineStr">
        <is>
          <t>baja</t>
        </is>
      </c>
      <c r="N928" s="4" t="inlineStr">
        <is>
          <t>por debajo de comparables</t>
        </is>
      </c>
      <c r="O928" s="4" t="n"/>
    </row>
    <row r="929">
      <c r="A929" s="4" t="inlineStr">
        <is>
          <t>MD-0975</t>
        </is>
      </c>
      <c r="B929" s="21" t="n">
        <v>46067</v>
      </c>
      <c r="C929" s="4" t="inlineStr">
        <is>
          <t>Carabanchel</t>
        </is>
      </c>
      <c r="D929" s="4" t="n">
        <v>46</v>
      </c>
      <c r="E929" s="4" t="inlineStr">
        <is>
          <t>a reformar</t>
        </is>
      </c>
      <c r="F929" s="22" t="n">
        <v>145000</v>
      </c>
      <c r="G929" s="23" t="n">
        <v>3152.17</v>
      </c>
      <c r="H929" s="22" t="n">
        <v>130752</v>
      </c>
      <c r="I929" s="23" t="n">
        <v>2842.43</v>
      </c>
      <c r="J929" s="18" t="n">
        <v>0.109</v>
      </c>
      <c r="K929" s="24" t="n">
        <v>22.8</v>
      </c>
      <c r="L929" s="4" t="n">
        <v>18</v>
      </c>
      <c r="M929" s="4" t="inlineStr">
        <is>
          <t>alta</t>
        </is>
      </c>
      <c r="N929" s="4" t="inlineStr">
        <is>
          <t>por encima de comparables</t>
        </is>
      </c>
      <c r="O929" s="4" t="n"/>
    </row>
    <row r="930">
      <c r="A930" s="4" t="inlineStr">
        <is>
          <t>MD-1329</t>
        </is>
      </c>
      <c r="B930" s="21" t="n">
        <v>46067</v>
      </c>
      <c r="C930" s="4" t="inlineStr">
        <is>
          <t>Chamberi</t>
        </is>
      </c>
      <c r="D930" s="4" t="n">
        <v>76</v>
      </c>
      <c r="E930" s="4" t="inlineStr">
        <is>
          <t>buen estado</t>
        </is>
      </c>
      <c r="F930" s="22" t="n">
        <v>604000</v>
      </c>
      <c r="G930" s="23" t="n">
        <v>7947.37</v>
      </c>
      <c r="H930" s="22" t="n">
        <v>651349</v>
      </c>
      <c r="I930" s="23" t="n">
        <v>8570.389999999999</v>
      </c>
      <c r="J930" s="18" t="n">
        <v>-0.0727</v>
      </c>
      <c r="K930" s="24" t="n">
        <v>68.2</v>
      </c>
      <c r="L930" s="4" t="n">
        <v>11</v>
      </c>
      <c r="M930" s="4" t="inlineStr">
        <is>
          <t>media</t>
        </is>
      </c>
      <c r="N930" s="4" t="inlineStr">
        <is>
          <t>en linea con comparables</t>
        </is>
      </c>
      <c r="O930" s="4" t="n"/>
    </row>
    <row r="931">
      <c r="A931" s="4" t="inlineStr">
        <is>
          <t>MD-0031</t>
        </is>
      </c>
      <c r="B931" s="21" t="n">
        <v>46067</v>
      </c>
      <c r="C931" s="4" t="inlineStr">
        <is>
          <t>Villaverde</t>
        </is>
      </c>
      <c r="D931" s="4" t="n">
        <v>63</v>
      </c>
      <c r="E931" s="4" t="inlineStr">
        <is>
          <t>a reformar</t>
        </is>
      </c>
      <c r="F931" s="22" t="n">
        <v>122000</v>
      </c>
      <c r="G931" s="23" t="n">
        <v>1936.51</v>
      </c>
      <c r="H931" s="22" t="n"/>
      <c r="I931" s="23" t="n"/>
      <c r="J931" s="18" t="n"/>
      <c r="K931" s="24" t="n"/>
      <c r="L931" s="4" t="n">
        <v>3</v>
      </c>
      <c r="M931" s="4" t="inlineStr">
        <is>
          <t>sin muestra</t>
        </is>
      </c>
      <c r="N931" s="4" t="inlineStr">
        <is>
          <t>no valorable</t>
        </is>
      </c>
      <c r="O931" s="4" t="inlineStr">
        <is>
          <t>segmento con pocas operaciones comparables</t>
        </is>
      </c>
    </row>
    <row r="932">
      <c r="A932" s="4" t="inlineStr">
        <is>
          <t>MD-1517</t>
        </is>
      </c>
      <c r="B932" s="21" t="n">
        <v>46067</v>
      </c>
      <c r="C932" s="4" t="inlineStr">
        <is>
          <t>Chamartin</t>
        </is>
      </c>
      <c r="D932" s="4" t="n">
        <v>57</v>
      </c>
      <c r="E932" s="4" t="inlineStr">
        <is>
          <t>buen estado</t>
        </is>
      </c>
      <c r="F932" s="22" t="n">
        <v>471000</v>
      </c>
      <c r="G932" s="23" t="n">
        <v>8263.16</v>
      </c>
      <c r="H932" s="22" t="n">
        <v>464000</v>
      </c>
      <c r="I932" s="23" t="n">
        <v>8140.35</v>
      </c>
      <c r="J932" s="18" t="n">
        <v>0.0151</v>
      </c>
      <c r="K932" s="24" t="n">
        <v>46.2</v>
      </c>
      <c r="L932" s="4" t="n">
        <v>13</v>
      </c>
      <c r="M932" s="4" t="inlineStr">
        <is>
          <t>media</t>
        </is>
      </c>
      <c r="N932" s="4" t="inlineStr">
        <is>
          <t>en linea con comparables</t>
        </is>
      </c>
      <c r="O932" s="4" t="n"/>
    </row>
    <row r="933">
      <c r="A933" s="4" t="inlineStr">
        <is>
          <t>MD-1675</t>
        </is>
      </c>
      <c r="B933" s="21" t="n">
        <v>46067</v>
      </c>
      <c r="C933" s="4" t="inlineStr">
        <is>
          <t>Usera</t>
        </is>
      </c>
      <c r="D933" s="4" t="n">
        <v>66</v>
      </c>
      <c r="E933" s="4" t="inlineStr">
        <is>
          <t>buen estado</t>
        </is>
      </c>
      <c r="F933" s="22" t="n">
        <v>165000</v>
      </c>
      <c r="G933" s="23" t="n">
        <v>2500</v>
      </c>
      <c r="H933" s="22" t="n">
        <v>203000</v>
      </c>
      <c r="I933" s="23" t="n">
        <v>3075.76</v>
      </c>
      <c r="J933" s="18" t="n">
        <v>-0.1872</v>
      </c>
      <c r="K933" s="24" t="n">
        <v>96.8</v>
      </c>
      <c r="L933" s="4" t="n">
        <v>9</v>
      </c>
      <c r="M933" s="4" t="inlineStr">
        <is>
          <t>media</t>
        </is>
      </c>
      <c r="N933" s="4" t="inlineStr">
        <is>
          <t>por debajo de comparables</t>
        </is>
      </c>
      <c r="O933" s="4" t="n"/>
    </row>
    <row r="934">
      <c r="A934" s="4" t="inlineStr">
        <is>
          <t>MD-0173</t>
        </is>
      </c>
      <c r="B934" s="21" t="n">
        <v>46067</v>
      </c>
      <c r="C934" s="4" t="inlineStr">
        <is>
          <t>Carabanchel</t>
        </is>
      </c>
      <c r="D934" s="4" t="n">
        <v>64</v>
      </c>
      <c r="E934" s="4" t="inlineStr">
        <is>
          <t>buen estado</t>
        </is>
      </c>
      <c r="F934" s="22" t="n">
        <v>207000</v>
      </c>
      <c r="G934" s="23" t="n">
        <v>3234.38</v>
      </c>
      <c r="H934" s="22" t="n">
        <v>227948</v>
      </c>
      <c r="I934" s="23" t="n">
        <v>3561.68</v>
      </c>
      <c r="J934" s="18" t="n">
        <v>-0.0919</v>
      </c>
      <c r="K934" s="24" t="n">
        <v>73</v>
      </c>
      <c r="L934" s="4" t="n">
        <v>24</v>
      </c>
      <c r="M934" s="4" t="inlineStr">
        <is>
          <t>alta</t>
        </is>
      </c>
      <c r="N934" s="4" t="inlineStr">
        <is>
          <t>en linea con comparables</t>
        </is>
      </c>
      <c r="O934" s="4" t="n"/>
    </row>
    <row r="935">
      <c r="A935" s="4" t="inlineStr">
        <is>
          <t>MD-1780</t>
        </is>
      </c>
      <c r="B935" s="21" t="n">
        <v>46067</v>
      </c>
      <c r="C935" s="4" t="inlineStr">
        <is>
          <t>Carabanchel</t>
        </is>
      </c>
      <c r="D935" s="4" t="n">
        <v>78</v>
      </c>
      <c r="E935" s="4" t="inlineStr">
        <is>
          <t>buen estado</t>
        </is>
      </c>
      <c r="F935" s="22" t="n">
        <v>226000</v>
      </c>
      <c r="G935" s="23" t="n">
        <v>2897.44</v>
      </c>
      <c r="H935" s="22" t="n">
        <v>282832</v>
      </c>
      <c r="I935" s="23" t="n">
        <v>3626.05</v>
      </c>
      <c r="J935" s="18" t="n">
        <v>-0.2009</v>
      </c>
      <c r="K935" s="24" t="n">
        <v>100</v>
      </c>
      <c r="L935" s="4" t="n">
        <v>21</v>
      </c>
      <c r="M935" s="4" t="inlineStr">
        <is>
          <t>alta</t>
        </is>
      </c>
      <c r="N935" s="4" t="inlineStr">
        <is>
          <t>por debajo de comparables</t>
        </is>
      </c>
      <c r="O935" s="4" t="n"/>
    </row>
    <row r="936">
      <c r="A936" s="4" t="inlineStr">
        <is>
          <t>MD-1300</t>
        </is>
      </c>
      <c r="B936" s="21" t="n">
        <v>46068</v>
      </c>
      <c r="C936" s="4" t="inlineStr">
        <is>
          <t>San Blas-Canillejas</t>
        </is>
      </c>
      <c r="D936" s="4" t="n">
        <v>101</v>
      </c>
      <c r="E936" s="4" t="inlineStr">
        <is>
          <t>a reformar</t>
        </is>
      </c>
      <c r="F936" s="22" t="n">
        <v>356000</v>
      </c>
      <c r="G936" s="23" t="n">
        <v>3524.75</v>
      </c>
      <c r="H936" s="22" t="n">
        <v>269463</v>
      </c>
      <c r="I936" s="23" t="n">
        <v>2667.95</v>
      </c>
      <c r="J936" s="18" t="n">
        <v>0.3211</v>
      </c>
      <c r="K936" s="24" t="n">
        <v>0</v>
      </c>
      <c r="L936" s="4" t="n">
        <v>14</v>
      </c>
      <c r="M936" s="4" t="inlineStr">
        <is>
          <t>media</t>
        </is>
      </c>
      <c r="N936" s="4" t="inlineStr">
        <is>
          <t>por encima de comparables</t>
        </is>
      </c>
      <c r="O936" s="4" t="n"/>
    </row>
    <row r="937">
      <c r="A937" s="4" t="inlineStr">
        <is>
          <t>MD-1265</t>
        </is>
      </c>
      <c r="B937" s="21" t="n">
        <v>46069</v>
      </c>
      <c r="C937" s="4" t="inlineStr">
        <is>
          <t>San Blas-Canillejas</t>
        </is>
      </c>
      <c r="D937" s="4" t="n">
        <v>148</v>
      </c>
      <c r="E937" s="4" t="inlineStr">
        <is>
          <t>buen estado</t>
        </is>
      </c>
      <c r="F937" s="22" t="n">
        <v>343000</v>
      </c>
      <c r="G937" s="23" t="n">
        <v>2317.57</v>
      </c>
      <c r="H937" s="22" t="n">
        <v>559642</v>
      </c>
      <c r="I937" s="23" t="n">
        <v>3781.36</v>
      </c>
      <c r="J937" s="18" t="n">
        <v>-0.3871</v>
      </c>
      <c r="K937" s="24" t="n">
        <v>100</v>
      </c>
      <c r="L937" s="4" t="n">
        <v>8</v>
      </c>
      <c r="M937" s="4" t="inlineStr">
        <is>
          <t>media</t>
        </is>
      </c>
      <c r="N937" s="4" t="inlineStr">
        <is>
          <t>por debajo de comparables</t>
        </is>
      </c>
      <c r="O937" s="4" t="n"/>
    </row>
    <row r="938">
      <c r="A938" s="4" t="inlineStr">
        <is>
          <t>MD-1288</t>
        </is>
      </c>
      <c r="B938" s="21" t="n">
        <v>46069</v>
      </c>
      <c r="C938" s="4" t="inlineStr">
        <is>
          <t>Puente de Vallecas</t>
        </is>
      </c>
      <c r="D938" s="4" t="n">
        <v>75</v>
      </c>
      <c r="E938" s="4" t="inlineStr">
        <is>
          <t>a reformar</t>
        </is>
      </c>
      <c r="F938" s="22" t="n">
        <v>187000</v>
      </c>
      <c r="G938" s="23" t="n">
        <v>2493.33</v>
      </c>
      <c r="H938" s="22" t="n">
        <v>186146</v>
      </c>
      <c r="I938" s="23" t="n">
        <v>2481.95</v>
      </c>
      <c r="J938" s="18" t="n">
        <v>0.0046</v>
      </c>
      <c r="K938" s="24" t="n">
        <v>48.9</v>
      </c>
      <c r="L938" s="4" t="n">
        <v>36</v>
      </c>
      <c r="M938" s="4" t="inlineStr">
        <is>
          <t>alta</t>
        </is>
      </c>
      <c r="N938" s="4" t="inlineStr">
        <is>
          <t>en linea con comparables</t>
        </is>
      </c>
      <c r="O938" s="4" t="n"/>
    </row>
    <row r="939">
      <c r="A939" s="4" t="inlineStr">
        <is>
          <t>MD-0221</t>
        </is>
      </c>
      <c r="B939" s="21" t="n">
        <v>46069</v>
      </c>
      <c r="C939" s="4" t="inlineStr">
        <is>
          <t>Retiro</t>
        </is>
      </c>
      <c r="D939" s="4" t="n">
        <v>40</v>
      </c>
      <c r="E939" s="4" t="inlineStr">
        <is>
          <t>buen estado</t>
        </is>
      </c>
      <c r="F939" s="22" t="n">
        <v>255000</v>
      </c>
      <c r="G939" s="23" t="n">
        <v>6375</v>
      </c>
      <c r="H939" s="22" t="n">
        <v>247576</v>
      </c>
      <c r="I939" s="23" t="n">
        <v>6189.4</v>
      </c>
      <c r="J939" s="18" t="n">
        <v>0.03</v>
      </c>
      <c r="K939" s="24" t="n">
        <v>42.5</v>
      </c>
      <c r="L939" s="4" t="n">
        <v>5</v>
      </c>
      <c r="M939" s="4" t="inlineStr">
        <is>
          <t>baja</t>
        </is>
      </c>
      <c r="N939" s="4" t="inlineStr">
        <is>
          <t>en linea con comparables</t>
        </is>
      </c>
      <c r="O939" s="4" t="n"/>
    </row>
    <row r="940">
      <c r="A940" s="4" t="inlineStr">
        <is>
          <t>MD-1389</t>
        </is>
      </c>
      <c r="B940" s="21" t="n">
        <v>46069</v>
      </c>
      <c r="C940" s="4" t="inlineStr">
        <is>
          <t>Hortaleza</t>
        </is>
      </c>
      <c r="D940" s="4" t="n">
        <v>181</v>
      </c>
      <c r="E940" s="4" t="inlineStr">
        <is>
          <t>a reformar</t>
        </is>
      </c>
      <c r="F940" s="22" t="n">
        <v>610000</v>
      </c>
      <c r="G940" s="23" t="n">
        <v>3370.17</v>
      </c>
      <c r="H940" s="22" t="n">
        <v>837606</v>
      </c>
      <c r="I940" s="23" t="n">
        <v>4627.66</v>
      </c>
      <c r="J940" s="18" t="n">
        <v>-0.2717</v>
      </c>
      <c r="K940" s="24" t="n">
        <v>100</v>
      </c>
      <c r="L940" s="4" t="n">
        <v>17</v>
      </c>
      <c r="M940" s="4" t="inlineStr">
        <is>
          <t>media</t>
        </is>
      </c>
      <c r="N940" s="4" t="inlineStr">
        <is>
          <t>por debajo de comparables</t>
        </is>
      </c>
      <c r="O940" s="4" t="n"/>
    </row>
    <row r="941">
      <c r="A941" s="4" t="inlineStr">
        <is>
          <t>MD-1245</t>
        </is>
      </c>
      <c r="B941" s="21" t="n">
        <v>46069</v>
      </c>
      <c r="C941" s="4" t="inlineStr">
        <is>
          <t>Puente de Vallecas</t>
        </is>
      </c>
      <c r="D941" s="4" t="n">
        <v>33</v>
      </c>
      <c r="E941" s="4" t="inlineStr">
        <is>
          <t>buen estado</t>
        </is>
      </c>
      <c r="F941" s="22" t="n">
        <v>104000</v>
      </c>
      <c r="G941" s="23" t="n">
        <v>3151.52</v>
      </c>
      <c r="H941" s="22" t="n">
        <v>94369</v>
      </c>
      <c r="I941" s="23" t="n">
        <v>2859.65</v>
      </c>
      <c r="J941" s="18" t="n">
        <v>0.1021</v>
      </c>
      <c r="K941" s="24" t="n">
        <v>24.5</v>
      </c>
      <c r="L941" s="4" t="n">
        <v>9</v>
      </c>
      <c r="M941" s="4" t="inlineStr">
        <is>
          <t>media</t>
        </is>
      </c>
      <c r="N941" s="4" t="inlineStr">
        <is>
          <t>por encima de comparables</t>
        </is>
      </c>
      <c r="O941" s="4" t="n"/>
    </row>
    <row r="942">
      <c r="A942" s="4" t="inlineStr">
        <is>
          <t>MD-1829</t>
        </is>
      </c>
      <c r="B942" s="21" t="n">
        <v>46069</v>
      </c>
      <c r="C942" s="4" t="inlineStr">
        <is>
          <t>Latina</t>
        </is>
      </c>
      <c r="D942" s="4" t="n">
        <v>71</v>
      </c>
      <c r="E942" s="4" t="inlineStr">
        <is>
          <t>buen estado</t>
        </is>
      </c>
      <c r="F942" s="22" t="n">
        <v>168000</v>
      </c>
      <c r="G942" s="23" t="n">
        <v>2366.2</v>
      </c>
      <c r="H942" s="22" t="n">
        <v>178529</v>
      </c>
      <c r="I942" s="23" t="n">
        <v>2514.5</v>
      </c>
      <c r="J942" s="18" t="n">
        <v>-0.059</v>
      </c>
      <c r="K942" s="24" t="n">
        <v>64.7</v>
      </c>
      <c r="L942" s="4" t="n">
        <v>37</v>
      </c>
      <c r="M942" s="4" t="inlineStr">
        <is>
          <t>media</t>
        </is>
      </c>
      <c r="N942" s="4" t="inlineStr">
        <is>
          <t>en linea con comparables</t>
        </is>
      </c>
      <c r="O942" s="4" t="n"/>
    </row>
    <row r="943">
      <c r="A943" s="4" t="inlineStr">
        <is>
          <t>MD-0069</t>
        </is>
      </c>
      <c r="B943" s="21" t="n">
        <v>46070</v>
      </c>
      <c r="C943" s="4" t="inlineStr">
        <is>
          <t>Vicalvaro</t>
        </is>
      </c>
      <c r="D943" s="4" t="n">
        <v>89</v>
      </c>
      <c r="E943" s="4" t="inlineStr">
        <is>
          <t>reformado</t>
        </is>
      </c>
      <c r="F943" s="22" t="n">
        <v>296000</v>
      </c>
      <c r="G943" s="23" t="n">
        <v>3325.84</v>
      </c>
      <c r="H943" s="22" t="n">
        <v>330412</v>
      </c>
      <c r="I943" s="23" t="n">
        <v>3712.5</v>
      </c>
      <c r="J943" s="18" t="n">
        <v>-0.1042</v>
      </c>
      <c r="K943" s="24" t="n">
        <v>76</v>
      </c>
      <c r="L943" s="4" t="n">
        <v>15</v>
      </c>
      <c r="M943" s="4" t="inlineStr">
        <is>
          <t>alta</t>
        </is>
      </c>
      <c r="N943" s="4" t="inlineStr">
        <is>
          <t>por debajo de comparables</t>
        </is>
      </c>
      <c r="O943" s="4" t="n"/>
    </row>
    <row r="944">
      <c r="A944" s="4" t="inlineStr">
        <is>
          <t>MD-1682</t>
        </is>
      </c>
      <c r="B944" s="21" t="n">
        <v>46070</v>
      </c>
      <c r="C944" s="4" t="inlineStr">
        <is>
          <t>Latina</t>
        </is>
      </c>
      <c r="D944" s="4" t="n">
        <v>46</v>
      </c>
      <c r="E944" s="4" t="inlineStr">
        <is>
          <t>obra nueva</t>
        </is>
      </c>
      <c r="F944" s="22" t="n">
        <v>209000</v>
      </c>
      <c r="G944" s="23" t="n">
        <v>4543.48</v>
      </c>
      <c r="H944" s="22" t="n">
        <v>170815</v>
      </c>
      <c r="I944" s="23" t="n">
        <v>3713.37</v>
      </c>
      <c r="J944" s="18" t="n">
        <v>0.2235</v>
      </c>
      <c r="K944" s="24" t="n">
        <v>0</v>
      </c>
      <c r="L944" s="4" t="n">
        <v>16</v>
      </c>
      <c r="M944" s="4" t="inlineStr">
        <is>
          <t>alta</t>
        </is>
      </c>
      <c r="N944" s="4" t="inlineStr">
        <is>
          <t>por encima de comparables</t>
        </is>
      </c>
      <c r="O944" s="4" t="n"/>
    </row>
    <row r="945">
      <c r="A945" s="4" t="inlineStr">
        <is>
          <t>MD-1578</t>
        </is>
      </c>
      <c r="B945" s="21" t="n">
        <v>46070</v>
      </c>
      <c r="C945" s="4" t="inlineStr">
        <is>
          <t>Fuencarral-El Pardo</t>
        </is>
      </c>
      <c r="D945" s="4" t="n">
        <v>60</v>
      </c>
      <c r="E945" s="4" t="inlineStr">
        <is>
          <t>reformado</t>
        </is>
      </c>
      <c r="F945" s="22" t="n">
        <v>390000</v>
      </c>
      <c r="G945" s="23" t="n">
        <v>6500</v>
      </c>
      <c r="H945" s="22" t="n">
        <v>311499</v>
      </c>
      <c r="I945" s="23" t="n">
        <v>5191.66</v>
      </c>
      <c r="J945" s="18" t="n">
        <v>0.252</v>
      </c>
      <c r="K945" s="24" t="n">
        <v>0</v>
      </c>
      <c r="L945" s="4" t="n">
        <v>16</v>
      </c>
      <c r="M945" s="4" t="inlineStr">
        <is>
          <t>media</t>
        </is>
      </c>
      <c r="N945" s="4" t="inlineStr">
        <is>
          <t>por encima de comparables</t>
        </is>
      </c>
      <c r="O945" s="4" t="n"/>
    </row>
    <row r="946">
      <c r="A946" s="4" t="inlineStr">
        <is>
          <t>MD-1182</t>
        </is>
      </c>
      <c r="B946" s="21" t="n">
        <v>46071</v>
      </c>
      <c r="C946" s="4" t="inlineStr">
        <is>
          <t>Vicalvaro</t>
        </is>
      </c>
      <c r="D946" s="4" t="n">
        <v>83</v>
      </c>
      <c r="E946" s="4" t="inlineStr">
        <is>
          <t>a reformar</t>
        </is>
      </c>
      <c r="F946" s="22" t="n">
        <v>330000</v>
      </c>
      <c r="G946" s="23" t="n">
        <v>3975.9</v>
      </c>
      <c r="H946" s="22" t="n">
        <v>248435</v>
      </c>
      <c r="I946" s="23" t="n">
        <v>2993.2</v>
      </c>
      <c r="J946" s="18" t="n">
        <v>0.3283</v>
      </c>
      <c r="K946" s="24" t="n">
        <v>0</v>
      </c>
      <c r="L946" s="4" t="n">
        <v>15</v>
      </c>
      <c r="M946" s="4" t="inlineStr">
        <is>
          <t>alta</t>
        </is>
      </c>
      <c r="N946" s="4" t="inlineStr">
        <is>
          <t>por encima de comparables</t>
        </is>
      </c>
      <c r="O946" s="4" t="n"/>
    </row>
    <row r="947">
      <c r="A947" s="4" t="inlineStr">
        <is>
          <t>MD-0367</t>
        </is>
      </c>
      <c r="B947" s="21" t="n">
        <v>46071</v>
      </c>
      <c r="C947" s="4" t="inlineStr">
        <is>
          <t>Chamartin</t>
        </is>
      </c>
      <c r="D947" s="4" t="n">
        <v>126</v>
      </c>
      <c r="E947" s="4" t="inlineStr">
        <is>
          <t>buen estado</t>
        </is>
      </c>
      <c r="F947" s="22" t="n">
        <v>986000</v>
      </c>
      <c r="G947" s="23" t="n">
        <v>7825.4</v>
      </c>
      <c r="H947" s="22" t="n">
        <v>1043474</v>
      </c>
      <c r="I947" s="23" t="n">
        <v>8281.540000000001</v>
      </c>
      <c r="J947" s="18" t="n">
        <v>-0.0551</v>
      </c>
      <c r="K947" s="24" t="n">
        <v>63.8</v>
      </c>
      <c r="L947" s="4" t="n">
        <v>13</v>
      </c>
      <c r="M947" s="4" t="inlineStr">
        <is>
          <t>media</t>
        </is>
      </c>
      <c r="N947" s="4" t="inlineStr">
        <is>
          <t>en linea con comparables</t>
        </is>
      </c>
      <c r="O947" s="4" t="n"/>
    </row>
    <row r="948">
      <c r="A948" s="4" t="inlineStr">
        <is>
          <t>MD-1408</t>
        </is>
      </c>
      <c r="B948" s="21" t="n">
        <v>46071</v>
      </c>
      <c r="C948" s="4" t="inlineStr">
        <is>
          <t>Puente de Vallecas</t>
        </is>
      </c>
      <c r="D948" s="4" t="n">
        <v>51</v>
      </c>
      <c r="E948" s="4" t="inlineStr">
        <is>
          <t>buen estado</t>
        </is>
      </c>
      <c r="F948" s="22" t="n">
        <v>146000</v>
      </c>
      <c r="G948" s="23" t="n">
        <v>2862.75</v>
      </c>
      <c r="H948" s="22" t="n">
        <v>128621</v>
      </c>
      <c r="I948" s="23" t="n">
        <v>2521.99</v>
      </c>
      <c r="J948" s="18" t="n">
        <v>0.1351</v>
      </c>
      <c r="K948" s="24" t="n">
        <v>16.2</v>
      </c>
      <c r="L948" s="4" t="n">
        <v>29</v>
      </c>
      <c r="M948" s="4" t="inlineStr">
        <is>
          <t>alta</t>
        </is>
      </c>
      <c r="N948" s="4" t="inlineStr">
        <is>
          <t>por encima de comparables</t>
        </is>
      </c>
      <c r="O948" s="4" t="n"/>
    </row>
    <row r="949">
      <c r="A949" s="4" t="inlineStr">
        <is>
          <t>MD-1576</t>
        </is>
      </c>
      <c r="B949" s="21" t="n">
        <v>46071</v>
      </c>
      <c r="C949" s="4" t="inlineStr">
        <is>
          <t>Villaverde</t>
        </is>
      </c>
      <c r="D949" s="4" t="n">
        <v>96</v>
      </c>
      <c r="E949" s="4" t="inlineStr">
        <is>
          <t>reformado</t>
        </is>
      </c>
      <c r="F949" s="22" t="n">
        <v>214000</v>
      </c>
      <c r="G949" s="23" t="n">
        <v>2229.17</v>
      </c>
      <c r="H949" s="22" t="n"/>
      <c r="I949" s="23" t="n"/>
      <c r="J949" s="18" t="n"/>
      <c r="K949" s="24" t="n"/>
      <c r="L949" s="4" t="n">
        <v>4</v>
      </c>
      <c r="M949" s="4" t="inlineStr">
        <is>
          <t>sin muestra</t>
        </is>
      </c>
      <c r="N949" s="4" t="inlineStr">
        <is>
          <t>no valorable</t>
        </is>
      </c>
      <c r="O949" s="4" t="inlineStr">
        <is>
          <t>segmento con pocas operaciones comparables</t>
        </is>
      </c>
    </row>
    <row r="950">
      <c r="A950" s="4" t="inlineStr">
        <is>
          <t>MD-1246</t>
        </is>
      </c>
      <c r="B950" s="21" t="n">
        <v>46072</v>
      </c>
      <c r="C950" s="4" t="inlineStr">
        <is>
          <t>Fuencarral-El Pardo</t>
        </is>
      </c>
      <c r="D950" s="4" t="n">
        <v>139</v>
      </c>
      <c r="E950" s="4" t="inlineStr">
        <is>
          <t>reformado</t>
        </is>
      </c>
      <c r="F950" s="22" t="n">
        <v>909000</v>
      </c>
      <c r="G950" s="23" t="n">
        <v>6539.57</v>
      </c>
      <c r="H950" s="22" t="n">
        <v>833710</v>
      </c>
      <c r="I950" s="23" t="n">
        <v>5997.92</v>
      </c>
      <c r="J950" s="18" t="n">
        <v>0.09030000000000001</v>
      </c>
      <c r="K950" s="24" t="n">
        <v>27.4</v>
      </c>
      <c r="L950" s="4" t="n">
        <v>14</v>
      </c>
      <c r="M950" s="4" t="inlineStr">
        <is>
          <t>media</t>
        </is>
      </c>
      <c r="N950" s="4" t="inlineStr">
        <is>
          <t>en linea con comparables</t>
        </is>
      </c>
      <c r="O950" s="4" t="n"/>
    </row>
    <row r="951">
      <c r="A951" s="4" t="inlineStr">
        <is>
          <t>MD-1474</t>
        </is>
      </c>
      <c r="B951" s="21" t="n">
        <v>46072</v>
      </c>
      <c r="C951" s="4" t="inlineStr">
        <is>
          <t>Arganzuela</t>
        </is>
      </c>
      <c r="D951" s="4" t="n">
        <v>59</v>
      </c>
      <c r="E951" s="4" t="inlineStr">
        <is>
          <t>a reformar</t>
        </is>
      </c>
      <c r="F951" s="22" t="n">
        <v>230000</v>
      </c>
      <c r="G951" s="23" t="n">
        <v>3898.31</v>
      </c>
      <c r="H951" s="22" t="n">
        <v>276547</v>
      </c>
      <c r="I951" s="23" t="n">
        <v>4687.24</v>
      </c>
      <c r="J951" s="18" t="n">
        <v>-0.1683</v>
      </c>
      <c r="K951" s="24" t="n">
        <v>92.09999999999999</v>
      </c>
      <c r="L951" s="4" t="n">
        <v>13</v>
      </c>
      <c r="M951" s="4" t="inlineStr">
        <is>
          <t>media</t>
        </is>
      </c>
      <c r="N951" s="4" t="inlineStr">
        <is>
          <t>por debajo de comparables</t>
        </is>
      </c>
      <c r="O951" s="4" t="n"/>
    </row>
    <row r="952">
      <c r="A952" s="4" t="inlineStr">
        <is>
          <t>MD-1735</t>
        </is>
      </c>
      <c r="B952" s="21" t="n">
        <v>46072</v>
      </c>
      <c r="C952" s="4" t="inlineStr">
        <is>
          <t>Ciudad Lineal</t>
        </is>
      </c>
      <c r="D952" s="4" t="n">
        <v>97</v>
      </c>
      <c r="E952" s="4" t="inlineStr">
        <is>
          <t>buen estado</t>
        </is>
      </c>
      <c r="F952" s="22" t="n">
        <v>436000</v>
      </c>
      <c r="G952" s="23" t="n">
        <v>4494.85</v>
      </c>
      <c r="H952" s="22" t="n">
        <v>389922</v>
      </c>
      <c r="I952" s="23" t="n">
        <v>4019.81</v>
      </c>
      <c r="J952" s="18" t="n">
        <v>0.1182</v>
      </c>
      <c r="K952" s="24" t="n">
        <v>20.5</v>
      </c>
      <c r="L952" s="4" t="n">
        <v>11</v>
      </c>
      <c r="M952" s="4" t="inlineStr">
        <is>
          <t>media</t>
        </is>
      </c>
      <c r="N952" s="4" t="inlineStr">
        <is>
          <t>por encima de comparables</t>
        </is>
      </c>
      <c r="O952" s="4" t="n"/>
    </row>
    <row r="953">
      <c r="A953" s="4" t="inlineStr">
        <is>
          <t>MD-1667</t>
        </is>
      </c>
      <c r="B953" s="21" t="n">
        <v>46072</v>
      </c>
      <c r="C953" s="4" t="inlineStr">
        <is>
          <t>Moratalaz</t>
        </is>
      </c>
      <c r="D953" s="4" t="n">
        <v>96</v>
      </c>
      <c r="E953" s="4" t="inlineStr">
        <is>
          <t>a reformar</t>
        </is>
      </c>
      <c r="F953" s="22" t="n">
        <v>235000</v>
      </c>
      <c r="G953" s="23" t="n">
        <v>2447.92</v>
      </c>
      <c r="H953" s="22" t="n">
        <v>303619</v>
      </c>
      <c r="I953" s="23" t="n">
        <v>3162.69</v>
      </c>
      <c r="J953" s="18" t="n">
        <v>-0.226</v>
      </c>
      <c r="K953" s="24" t="n">
        <v>100</v>
      </c>
      <c r="L953" s="4" t="n">
        <v>9</v>
      </c>
      <c r="M953" s="4" t="inlineStr">
        <is>
          <t>media</t>
        </is>
      </c>
      <c r="N953" s="4" t="inlineStr">
        <is>
          <t>por debajo de comparables</t>
        </is>
      </c>
      <c r="O953" s="4" t="n"/>
    </row>
    <row r="954">
      <c r="A954" s="4" t="inlineStr">
        <is>
          <t>MD-0176</t>
        </is>
      </c>
      <c r="B954" s="21" t="n">
        <v>46072</v>
      </c>
      <c r="C954" s="4" t="inlineStr">
        <is>
          <t>Puente de Vallecas</t>
        </is>
      </c>
      <c r="D954" s="4" t="n">
        <v>44</v>
      </c>
      <c r="E954" s="4" t="inlineStr">
        <is>
          <t>buen estado</t>
        </is>
      </c>
      <c r="F954" s="22" t="n">
        <v>110000</v>
      </c>
      <c r="G954" s="23" t="n">
        <v>2500</v>
      </c>
      <c r="H954" s="22" t="n">
        <v>123100</v>
      </c>
      <c r="I954" s="23" t="n">
        <v>2797.72</v>
      </c>
      <c r="J954" s="18" t="n">
        <v>-0.1064</v>
      </c>
      <c r="K954" s="24" t="n">
        <v>76.59999999999999</v>
      </c>
      <c r="L954" s="4" t="n">
        <v>24</v>
      </c>
      <c r="M954" s="4" t="inlineStr">
        <is>
          <t>alta</t>
        </is>
      </c>
      <c r="N954" s="4" t="inlineStr">
        <is>
          <t>por debajo de comparables</t>
        </is>
      </c>
      <c r="O954" s="4" t="n"/>
    </row>
    <row r="955">
      <c r="A955" s="4" t="inlineStr">
        <is>
          <t>MD-1669</t>
        </is>
      </c>
      <c r="B955" s="21" t="n">
        <v>46072</v>
      </c>
      <c r="C955" s="4" t="inlineStr">
        <is>
          <t>Villaverde</t>
        </is>
      </c>
      <c r="D955" s="4" t="n">
        <v>62</v>
      </c>
      <c r="E955" s="4" t="inlineStr">
        <is>
          <t>a reformar</t>
        </is>
      </c>
      <c r="F955" s="22" t="n">
        <v>130000</v>
      </c>
      <c r="G955" s="23" t="n">
        <v>2096.77</v>
      </c>
      <c r="H955" s="22" t="n"/>
      <c r="I955" s="23" t="n"/>
      <c r="J955" s="18" t="n"/>
      <c r="K955" s="24" t="n"/>
      <c r="L955" s="4" t="n">
        <v>4</v>
      </c>
      <c r="M955" s="4" t="inlineStr">
        <is>
          <t>sin muestra</t>
        </is>
      </c>
      <c r="N955" s="4" t="inlineStr">
        <is>
          <t>no valorable</t>
        </is>
      </c>
      <c r="O955" s="4" t="inlineStr">
        <is>
          <t>segmento con pocas operaciones comparables</t>
        </is>
      </c>
    </row>
    <row r="956">
      <c r="A956" s="4" t="inlineStr">
        <is>
          <t>MD-0357</t>
        </is>
      </c>
      <c r="B956" s="21" t="n">
        <v>46072</v>
      </c>
      <c r="C956" s="4" t="inlineStr">
        <is>
          <t>Puente de Vallecas</t>
        </is>
      </c>
      <c r="D956" s="4" t="n">
        <v>61</v>
      </c>
      <c r="E956" s="4" t="inlineStr">
        <is>
          <t>reformado</t>
        </is>
      </c>
      <c r="F956" s="22" t="n">
        <v>154000</v>
      </c>
      <c r="G956" s="23" t="n">
        <v>2524.59</v>
      </c>
      <c r="H956" s="22" t="n">
        <v>167242</v>
      </c>
      <c r="I956" s="23" t="n">
        <v>2741.68</v>
      </c>
      <c r="J956" s="18" t="n">
        <v>-0.07920000000000001</v>
      </c>
      <c r="K956" s="24" t="n">
        <v>69.8</v>
      </c>
      <c r="L956" s="4" t="n">
        <v>38</v>
      </c>
      <c r="M956" s="4" t="inlineStr">
        <is>
          <t>media</t>
        </is>
      </c>
      <c r="N956" s="4" t="inlineStr">
        <is>
          <t>en linea con comparables</t>
        </is>
      </c>
      <c r="O956" s="4" t="n"/>
    </row>
    <row r="957">
      <c r="A957" s="4" t="inlineStr">
        <is>
          <t>MD-1696</t>
        </is>
      </c>
      <c r="B957" s="21" t="n">
        <v>46072</v>
      </c>
      <c r="C957" s="4" t="inlineStr">
        <is>
          <t>Carabanchel</t>
        </is>
      </c>
      <c r="D957" s="4" t="n">
        <v>79</v>
      </c>
      <c r="E957" s="4" t="inlineStr">
        <is>
          <t>buen estado</t>
        </is>
      </c>
      <c r="F957" s="22" t="n">
        <v>262000</v>
      </c>
      <c r="G957" s="23" t="n">
        <v>3316.46</v>
      </c>
      <c r="H957" s="22" t="n">
        <v>279071</v>
      </c>
      <c r="I957" s="23" t="n">
        <v>3532.54</v>
      </c>
      <c r="J957" s="18" t="n">
        <v>-0.0612</v>
      </c>
      <c r="K957" s="24" t="n">
        <v>65.3</v>
      </c>
      <c r="L957" s="4" t="n">
        <v>22</v>
      </c>
      <c r="M957" s="4" t="inlineStr">
        <is>
          <t>alta</t>
        </is>
      </c>
      <c r="N957" s="4" t="inlineStr">
        <is>
          <t>en linea con comparables</t>
        </is>
      </c>
      <c r="O957" s="4" t="n"/>
    </row>
    <row r="958">
      <c r="A958" s="4" t="inlineStr">
        <is>
          <t>MD-0775</t>
        </is>
      </c>
      <c r="B958" s="21" t="n">
        <v>46073</v>
      </c>
      <c r="C958" s="4" t="inlineStr">
        <is>
          <t>Centro</t>
        </is>
      </c>
      <c r="D958" s="4" t="n">
        <v>110</v>
      </c>
      <c r="E958" s="4" t="inlineStr">
        <is>
          <t>buen estado</t>
        </is>
      </c>
      <c r="F958" s="22" t="n">
        <v>877000</v>
      </c>
      <c r="G958" s="23" t="n">
        <v>7972.73</v>
      </c>
      <c r="H958" s="22" t="n">
        <v>820277</v>
      </c>
      <c r="I958" s="23" t="n">
        <v>7457.06</v>
      </c>
      <c r="J958" s="18" t="n">
        <v>0.0692</v>
      </c>
      <c r="K958" s="24" t="n">
        <v>32.7</v>
      </c>
      <c r="L958" s="4" t="n">
        <v>12</v>
      </c>
      <c r="M958" s="4" t="inlineStr">
        <is>
          <t>media</t>
        </is>
      </c>
      <c r="N958" s="4" t="inlineStr">
        <is>
          <t>en linea con comparables</t>
        </is>
      </c>
      <c r="O958" s="4" t="n"/>
    </row>
    <row r="959">
      <c r="A959" s="4" t="inlineStr">
        <is>
          <t>MD-1631</t>
        </is>
      </c>
      <c r="B959" s="21" t="n">
        <v>46073</v>
      </c>
      <c r="C959" s="4" t="inlineStr">
        <is>
          <t>Latina</t>
        </is>
      </c>
      <c r="D959" s="4" t="n">
        <v>56</v>
      </c>
      <c r="E959" s="4" t="inlineStr">
        <is>
          <t>a reformar</t>
        </is>
      </c>
      <c r="F959" s="22" t="n">
        <v>155000</v>
      </c>
      <c r="G959" s="23" t="n">
        <v>2767.86</v>
      </c>
      <c r="H959" s="22" t="n">
        <v>146687</v>
      </c>
      <c r="I959" s="23" t="n">
        <v>2619.41</v>
      </c>
      <c r="J959" s="18" t="n">
        <v>0.0567</v>
      </c>
      <c r="K959" s="24" t="n">
        <v>35.8</v>
      </c>
      <c r="L959" s="4" t="n">
        <v>29</v>
      </c>
      <c r="M959" s="4" t="inlineStr">
        <is>
          <t>media</t>
        </is>
      </c>
      <c r="N959" s="4" t="inlineStr">
        <is>
          <t>en linea con comparables</t>
        </is>
      </c>
      <c r="O959" s="4" t="n"/>
    </row>
    <row r="960">
      <c r="A960" s="4" t="inlineStr">
        <is>
          <t>MD-0691</t>
        </is>
      </c>
      <c r="B960" s="21" t="n">
        <v>46073</v>
      </c>
      <c r="C960" s="4" t="inlineStr">
        <is>
          <t>Salamanca</t>
        </is>
      </c>
      <c r="D960" s="4" t="n">
        <v>104</v>
      </c>
      <c r="E960" s="4" t="inlineStr">
        <is>
          <t>buen estado</t>
        </is>
      </c>
      <c r="F960" s="22" t="n">
        <v>763000</v>
      </c>
      <c r="G960" s="23" t="n">
        <v>7336.54</v>
      </c>
      <c r="H960" s="22" t="n">
        <v>855645</v>
      </c>
      <c r="I960" s="23" t="n">
        <v>8227.35</v>
      </c>
      <c r="J960" s="18" t="n">
        <v>-0.1083</v>
      </c>
      <c r="K960" s="24" t="n">
        <v>77.09999999999999</v>
      </c>
      <c r="L960" s="4" t="n">
        <v>8</v>
      </c>
      <c r="M960" s="4" t="inlineStr">
        <is>
          <t>media</t>
        </is>
      </c>
      <c r="N960" s="4" t="inlineStr">
        <is>
          <t>por debajo de comparables</t>
        </is>
      </c>
      <c r="O960" s="4" t="n"/>
    </row>
    <row r="961">
      <c r="A961" s="4" t="inlineStr">
        <is>
          <t>MD-1249</t>
        </is>
      </c>
      <c r="B961" s="21" t="n">
        <v>46073</v>
      </c>
      <c r="C961" s="4" t="inlineStr">
        <is>
          <t>Carabanchel</t>
        </is>
      </c>
      <c r="D961" s="4" t="n">
        <v>177</v>
      </c>
      <c r="E961" s="4" t="inlineStr">
        <is>
          <t>buen estado</t>
        </is>
      </c>
      <c r="F961" s="22" t="n">
        <v>833000</v>
      </c>
      <c r="G961" s="23" t="n">
        <v>4706.21</v>
      </c>
      <c r="H961" s="22" t="n">
        <v>630564</v>
      </c>
      <c r="I961" s="23" t="n">
        <v>3562.51</v>
      </c>
      <c r="J961" s="18" t="n">
        <v>0.321</v>
      </c>
      <c r="K961" s="24" t="n">
        <v>0</v>
      </c>
      <c r="L961" s="4" t="n">
        <v>6</v>
      </c>
      <c r="M961" s="4" t="inlineStr">
        <is>
          <t>baja</t>
        </is>
      </c>
      <c r="N961" s="4" t="inlineStr">
        <is>
          <t>por encima de comparables</t>
        </is>
      </c>
      <c r="O961" s="4" t="n"/>
    </row>
    <row r="962">
      <c r="A962" s="4" t="inlineStr">
        <is>
          <t>MD-1375</t>
        </is>
      </c>
      <c r="B962" s="21" t="n">
        <v>46073</v>
      </c>
      <c r="C962" s="4" t="inlineStr">
        <is>
          <t>Villa de Vallecas</t>
        </is>
      </c>
      <c r="D962" s="4" t="n">
        <v>100</v>
      </c>
      <c r="E962" s="4" t="inlineStr">
        <is>
          <t>reformado</t>
        </is>
      </c>
      <c r="F962" s="22" t="n">
        <v>454000</v>
      </c>
      <c r="G962" s="23" t="n">
        <v>4540</v>
      </c>
      <c r="H962" s="22" t="n">
        <v>387744</v>
      </c>
      <c r="I962" s="23" t="n">
        <v>3877.44</v>
      </c>
      <c r="J962" s="18" t="n">
        <v>0.1709</v>
      </c>
      <c r="K962" s="24" t="n">
        <v>7.3</v>
      </c>
      <c r="L962" s="4" t="n">
        <v>8</v>
      </c>
      <c r="M962" s="4" t="inlineStr">
        <is>
          <t>media</t>
        </is>
      </c>
      <c r="N962" s="4" t="inlineStr">
        <is>
          <t>por encima de comparables</t>
        </is>
      </c>
      <c r="O962" s="4" t="n"/>
    </row>
    <row r="963">
      <c r="A963" s="4" t="inlineStr">
        <is>
          <t>MD-1303</t>
        </is>
      </c>
      <c r="B963" s="21" t="n">
        <v>46074</v>
      </c>
      <c r="C963" s="4" t="inlineStr">
        <is>
          <t>Latina</t>
        </is>
      </c>
      <c r="D963" s="4" t="n">
        <v>70</v>
      </c>
      <c r="E963" s="4" t="inlineStr">
        <is>
          <t>buen estado</t>
        </is>
      </c>
      <c r="F963" s="22" t="n">
        <v>174000</v>
      </c>
      <c r="G963" s="23" t="n">
        <v>2485.71</v>
      </c>
      <c r="H963" s="22" t="n">
        <v>203351</v>
      </c>
      <c r="I963" s="23" t="n">
        <v>2905.01</v>
      </c>
      <c r="J963" s="18" t="n">
        <v>-0.1443</v>
      </c>
      <c r="K963" s="24" t="n">
        <v>86.09999999999999</v>
      </c>
      <c r="L963" s="4" t="n">
        <v>42</v>
      </c>
      <c r="M963" s="4" t="inlineStr">
        <is>
          <t>media</t>
        </is>
      </c>
      <c r="N963" s="4" t="inlineStr">
        <is>
          <t>por debajo de comparables</t>
        </is>
      </c>
      <c r="O963" s="4" t="n"/>
    </row>
    <row r="964">
      <c r="A964" s="4" t="inlineStr">
        <is>
          <t>MD-0433</t>
        </is>
      </c>
      <c r="B964" s="21" t="n">
        <v>46074</v>
      </c>
      <c r="C964" s="4" t="inlineStr">
        <is>
          <t>Chamartin</t>
        </is>
      </c>
      <c r="D964" s="4" t="n">
        <v>99</v>
      </c>
      <c r="E964" s="4" t="inlineStr">
        <is>
          <t>buen estado</t>
        </is>
      </c>
      <c r="F964" s="22" t="n">
        <v>903000</v>
      </c>
      <c r="G964" s="23" t="n">
        <v>9121.209999999999</v>
      </c>
      <c r="H964" s="22" t="n">
        <v>823148</v>
      </c>
      <c r="I964" s="23" t="n">
        <v>8314.620000000001</v>
      </c>
      <c r="J964" s="18" t="n">
        <v>0.097</v>
      </c>
      <c r="K964" s="24" t="n">
        <v>25.7</v>
      </c>
      <c r="L964" s="4" t="n">
        <v>16</v>
      </c>
      <c r="M964" s="4" t="inlineStr">
        <is>
          <t>alta</t>
        </is>
      </c>
      <c r="N964" s="4" t="inlineStr">
        <is>
          <t>en linea con comparables</t>
        </is>
      </c>
      <c r="O964" s="4" t="n"/>
    </row>
    <row r="965">
      <c r="A965" s="4" t="inlineStr">
        <is>
          <t>MD-1359</t>
        </is>
      </c>
      <c r="B965" s="21" t="n">
        <v>46074</v>
      </c>
      <c r="C965" s="4" t="inlineStr">
        <is>
          <t>Fuencarral-El Pardo</t>
        </is>
      </c>
      <c r="D965" s="4" t="n">
        <v>74</v>
      </c>
      <c r="E965" s="4" t="inlineStr">
        <is>
          <t>buen estado</t>
        </is>
      </c>
      <c r="F965" s="22" t="n">
        <v>433000</v>
      </c>
      <c r="G965" s="23" t="n">
        <v>5851.35</v>
      </c>
      <c r="H965" s="22" t="n">
        <v>410172</v>
      </c>
      <c r="I965" s="23" t="n">
        <v>5542.86</v>
      </c>
      <c r="J965" s="18" t="n">
        <v>0.0557</v>
      </c>
      <c r="K965" s="24" t="n">
        <v>36.1</v>
      </c>
      <c r="L965" s="4" t="n">
        <v>15</v>
      </c>
      <c r="M965" s="4" t="inlineStr">
        <is>
          <t>media</t>
        </is>
      </c>
      <c r="N965" s="4" t="inlineStr">
        <is>
          <t>en linea con comparables</t>
        </is>
      </c>
      <c r="O965" s="4" t="n"/>
    </row>
    <row r="966">
      <c r="A966" s="4" t="inlineStr">
        <is>
          <t>MD-1500</t>
        </is>
      </c>
      <c r="B966" s="21" t="n">
        <v>46075</v>
      </c>
      <c r="C966" s="4" t="inlineStr">
        <is>
          <t>Chamartin</t>
        </is>
      </c>
      <c r="D966" s="4" t="n">
        <v>83</v>
      </c>
      <c r="E966" s="4" t="inlineStr">
        <is>
          <t>obra nueva</t>
        </is>
      </c>
      <c r="F966" s="22" t="n">
        <v>666000</v>
      </c>
      <c r="G966" s="23" t="n">
        <v>8024.1</v>
      </c>
      <c r="H966" s="22" t="n">
        <v>776957</v>
      </c>
      <c r="I966" s="23" t="n">
        <v>9360.93</v>
      </c>
      <c r="J966" s="18" t="n">
        <v>-0.1428</v>
      </c>
      <c r="K966" s="24" t="n">
        <v>85.7</v>
      </c>
      <c r="L966" s="4" t="n">
        <v>14</v>
      </c>
      <c r="M966" s="4" t="inlineStr">
        <is>
          <t>media</t>
        </is>
      </c>
      <c r="N966" s="4" t="inlineStr">
        <is>
          <t>por debajo de comparables</t>
        </is>
      </c>
      <c r="O966" s="4" t="n"/>
    </row>
    <row r="967">
      <c r="A967" s="4" t="inlineStr">
        <is>
          <t>MD-0696</t>
        </is>
      </c>
      <c r="B967" s="21" t="n">
        <v>46075</v>
      </c>
      <c r="C967" s="4" t="inlineStr">
        <is>
          <t>Puente de Vallecas</t>
        </is>
      </c>
      <c r="D967" s="4" t="n">
        <v>36</v>
      </c>
      <c r="E967" s="4" t="inlineStr">
        <is>
          <t>a reformar</t>
        </is>
      </c>
      <c r="F967" s="22" t="n">
        <v>76000</v>
      </c>
      <c r="G967" s="23" t="n">
        <v>2111.11</v>
      </c>
      <c r="H967" s="22" t="n">
        <v>86994</v>
      </c>
      <c r="I967" s="23" t="n">
        <v>2416.49</v>
      </c>
      <c r="J967" s="18" t="n">
        <v>-0.1264</v>
      </c>
      <c r="K967" s="24" t="n">
        <v>81.59999999999999</v>
      </c>
      <c r="L967" s="4" t="n">
        <v>14</v>
      </c>
      <c r="M967" s="4" t="inlineStr">
        <is>
          <t>media</t>
        </is>
      </c>
      <c r="N967" s="4" t="inlineStr">
        <is>
          <t>por debajo de comparables</t>
        </is>
      </c>
      <c r="O967" s="4" t="n"/>
    </row>
    <row r="968">
      <c r="A968" s="4" t="inlineStr">
        <is>
          <t>MD-1831</t>
        </is>
      </c>
      <c r="B968" s="21" t="n">
        <v>46075</v>
      </c>
      <c r="C968" s="4" t="inlineStr">
        <is>
          <t>Villa de Vallecas</t>
        </is>
      </c>
      <c r="D968" s="4" t="n">
        <v>99</v>
      </c>
      <c r="E968" s="4" t="inlineStr">
        <is>
          <t>buen estado</t>
        </is>
      </c>
      <c r="F968" s="22" t="n">
        <v>330000</v>
      </c>
      <c r="G968" s="23" t="n">
        <v>3333.33</v>
      </c>
      <c r="H968" s="22" t="n">
        <v>355138</v>
      </c>
      <c r="I968" s="23" t="n">
        <v>3587.25</v>
      </c>
      <c r="J968" s="18" t="n">
        <v>-0.0708</v>
      </c>
      <c r="K968" s="24" t="n">
        <v>67.7</v>
      </c>
      <c r="L968" s="4" t="n">
        <v>9</v>
      </c>
      <c r="M968" s="4" t="inlineStr">
        <is>
          <t>media</t>
        </is>
      </c>
      <c r="N968" s="4" t="inlineStr">
        <is>
          <t>en linea con comparables</t>
        </is>
      </c>
      <c r="O968" s="4" t="n"/>
    </row>
    <row r="969">
      <c r="A969" s="4" t="inlineStr">
        <is>
          <t>MD-1183</t>
        </is>
      </c>
      <c r="B969" s="21" t="n">
        <v>46075</v>
      </c>
      <c r="C969" s="4" t="inlineStr">
        <is>
          <t>Ciudad Lineal</t>
        </is>
      </c>
      <c r="D969" s="4" t="n">
        <v>56</v>
      </c>
      <c r="E969" s="4" t="inlineStr">
        <is>
          <t>buen estado</t>
        </is>
      </c>
      <c r="F969" s="22" t="n">
        <v>211000</v>
      </c>
      <c r="G969" s="23" t="n">
        <v>3767.86</v>
      </c>
      <c r="H969" s="22" t="n">
        <v>252185</v>
      </c>
      <c r="I969" s="23" t="n">
        <v>4503.3</v>
      </c>
      <c r="J969" s="18" t="n">
        <v>-0.1633</v>
      </c>
      <c r="K969" s="24" t="n">
        <v>90.8</v>
      </c>
      <c r="L969" s="4" t="n">
        <v>22</v>
      </c>
      <c r="M969" s="4" t="inlineStr">
        <is>
          <t>media</t>
        </is>
      </c>
      <c r="N969" s="4" t="inlineStr">
        <is>
          <t>por debajo de comparables</t>
        </is>
      </c>
      <c r="O969" s="4" t="n"/>
    </row>
    <row r="970">
      <c r="A970" s="4" t="inlineStr">
        <is>
          <t>MD-0552</t>
        </is>
      </c>
      <c r="B970" s="21" t="n">
        <v>46075</v>
      </c>
      <c r="C970" s="4" t="inlineStr">
        <is>
          <t>San Blas-Canillejas</t>
        </is>
      </c>
      <c r="D970" s="4" t="n">
        <v>63</v>
      </c>
      <c r="E970" s="4" t="inlineStr">
        <is>
          <t>buen estado</t>
        </is>
      </c>
      <c r="F970" s="22" t="n">
        <v>252000</v>
      </c>
      <c r="G970" s="23" t="n">
        <v>4000</v>
      </c>
      <c r="H970" s="22" t="n">
        <v>235093</v>
      </c>
      <c r="I970" s="23" t="n">
        <v>3731.64</v>
      </c>
      <c r="J970" s="18" t="n">
        <v>0.07190000000000001</v>
      </c>
      <c r="K970" s="24" t="n">
        <v>32</v>
      </c>
      <c r="L970" s="4" t="n">
        <v>12</v>
      </c>
      <c r="M970" s="4" t="inlineStr">
        <is>
          <t>media</t>
        </is>
      </c>
      <c r="N970" s="4" t="inlineStr">
        <is>
          <t>en linea con comparables</t>
        </is>
      </c>
      <c r="O970" s="4" t="n"/>
    </row>
    <row r="971">
      <c r="A971" s="4" t="inlineStr">
        <is>
          <t>MD-0847</t>
        </is>
      </c>
      <c r="B971" s="21" t="n">
        <v>46075</v>
      </c>
      <c r="C971" s="4" t="inlineStr">
        <is>
          <t>Latina</t>
        </is>
      </c>
      <c r="D971" s="4" t="n">
        <v>53</v>
      </c>
      <c r="E971" s="4" t="inlineStr">
        <is>
          <t>a reformar</t>
        </is>
      </c>
      <c r="F971" s="22" t="n">
        <v>120000</v>
      </c>
      <c r="G971" s="23" t="n">
        <v>2264.15</v>
      </c>
      <c r="H971" s="22" t="n">
        <v>147631</v>
      </c>
      <c r="I971" s="23" t="n">
        <v>2785.48</v>
      </c>
      <c r="J971" s="18" t="n">
        <v>-0.1872</v>
      </c>
      <c r="K971" s="24" t="n">
        <v>96.8</v>
      </c>
      <c r="L971" s="4" t="n">
        <v>24</v>
      </c>
      <c r="M971" s="4" t="inlineStr">
        <is>
          <t>alta</t>
        </is>
      </c>
      <c r="N971" s="4" t="inlineStr">
        <is>
          <t>por debajo de comparables</t>
        </is>
      </c>
      <c r="O971" s="4" t="n"/>
    </row>
    <row r="972">
      <c r="A972" s="4" t="inlineStr">
        <is>
          <t>MD-0282</t>
        </is>
      </c>
      <c r="B972" s="21" t="n">
        <v>46075</v>
      </c>
      <c r="C972" s="4" t="inlineStr">
        <is>
          <t>Carabanchel</t>
        </is>
      </c>
      <c r="D972" s="4" t="n">
        <v>96</v>
      </c>
      <c r="E972" s="4" t="inlineStr">
        <is>
          <t>buen estado</t>
        </is>
      </c>
      <c r="F972" s="22" t="n">
        <v>325000</v>
      </c>
      <c r="G972" s="23" t="n">
        <v>3385.42</v>
      </c>
      <c r="H972" s="22" t="n">
        <v>329703</v>
      </c>
      <c r="I972" s="23" t="n">
        <v>3434.4</v>
      </c>
      <c r="J972" s="18" t="n">
        <v>-0.0143</v>
      </c>
      <c r="K972" s="24" t="n">
        <v>53.6</v>
      </c>
      <c r="L972" s="4" t="n">
        <v>14</v>
      </c>
      <c r="M972" s="4" t="inlineStr">
        <is>
          <t>media</t>
        </is>
      </c>
      <c r="N972" s="4" t="inlineStr">
        <is>
          <t>en linea con comparables</t>
        </is>
      </c>
      <c r="O972" s="4" t="n"/>
    </row>
    <row r="973">
      <c r="A973" s="4" t="inlineStr">
        <is>
          <t>MD-1224</t>
        </is>
      </c>
      <c r="B973" s="21" t="n">
        <v>46075</v>
      </c>
      <c r="C973" s="4" t="inlineStr">
        <is>
          <t>Tetuan</t>
        </is>
      </c>
      <c r="D973" s="4" t="n">
        <v>40</v>
      </c>
      <c r="E973" s="4" t="inlineStr">
        <is>
          <t>a reformar</t>
        </is>
      </c>
      <c r="F973" s="22" t="n">
        <v>192000</v>
      </c>
      <c r="G973" s="23" t="n">
        <v>4800</v>
      </c>
      <c r="H973" s="22" t="n">
        <v>178292</v>
      </c>
      <c r="I973" s="23" t="n">
        <v>4457.3</v>
      </c>
      <c r="J973" s="18" t="n">
        <v>0.0769</v>
      </c>
      <c r="K973" s="24" t="n">
        <v>30.8</v>
      </c>
      <c r="L973" s="4" t="n">
        <v>13</v>
      </c>
      <c r="M973" s="4" t="inlineStr">
        <is>
          <t>media</t>
        </is>
      </c>
      <c r="N973" s="4" t="inlineStr">
        <is>
          <t>en linea con comparables</t>
        </is>
      </c>
      <c r="O973" s="4" t="n"/>
    </row>
    <row r="974">
      <c r="A974" s="4" t="inlineStr">
        <is>
          <t>MD-0604</t>
        </is>
      </c>
      <c r="B974" s="21" t="n">
        <v>46076</v>
      </c>
      <c r="C974" s="4" t="inlineStr">
        <is>
          <t>Chamartin</t>
        </is>
      </c>
      <c r="D974" s="4" t="n">
        <v>69</v>
      </c>
      <c r="E974" s="4" t="inlineStr">
        <is>
          <t>buen estado</t>
        </is>
      </c>
      <c r="F974" s="22" t="n">
        <v>663000</v>
      </c>
      <c r="G974" s="23" t="n">
        <v>9608.700000000001</v>
      </c>
      <c r="H974" s="22" t="n">
        <v>561684</v>
      </c>
      <c r="I974" s="23" t="n">
        <v>8140.35</v>
      </c>
      <c r="J974" s="18" t="n">
        <v>0.1804</v>
      </c>
      <c r="K974" s="24" t="n">
        <v>4.9</v>
      </c>
      <c r="L974" s="4" t="n">
        <v>17</v>
      </c>
      <c r="M974" s="4" t="inlineStr">
        <is>
          <t>alta</t>
        </is>
      </c>
      <c r="N974" s="4" t="inlineStr">
        <is>
          <t>por encima de comparables</t>
        </is>
      </c>
      <c r="O974" s="4" t="n"/>
    </row>
    <row r="975">
      <c r="A975" s="4" t="inlineStr">
        <is>
          <t>MD-0569</t>
        </is>
      </c>
      <c r="B975" s="21" t="n">
        <v>46076</v>
      </c>
      <c r="C975" s="4" t="inlineStr">
        <is>
          <t>Hortaleza</t>
        </is>
      </c>
      <c r="D975" s="4" t="n">
        <v>80</v>
      </c>
      <c r="E975" s="4" t="inlineStr">
        <is>
          <t>a reformar</t>
        </is>
      </c>
      <c r="F975" s="22" t="n">
        <v>275000</v>
      </c>
      <c r="G975" s="23" t="n">
        <v>3437.5</v>
      </c>
      <c r="H975" s="22" t="n">
        <v>362106</v>
      </c>
      <c r="I975" s="23" t="n">
        <v>4526.32</v>
      </c>
      <c r="J975" s="18" t="n">
        <v>-0.2406</v>
      </c>
      <c r="K975" s="24" t="n">
        <v>100</v>
      </c>
      <c r="L975" s="4" t="n">
        <v>19</v>
      </c>
      <c r="M975" s="4" t="inlineStr">
        <is>
          <t>alta</t>
        </is>
      </c>
      <c r="N975" s="4" t="inlineStr">
        <is>
          <t>por debajo de comparables</t>
        </is>
      </c>
      <c r="O975" s="4" t="n"/>
    </row>
    <row r="976">
      <c r="A976" s="4" t="inlineStr">
        <is>
          <t>MD-0051</t>
        </is>
      </c>
      <c r="B976" s="21" t="n">
        <v>46076</v>
      </c>
      <c r="C976" s="4" t="inlineStr">
        <is>
          <t>Hortaleza</t>
        </is>
      </c>
      <c r="D976" s="4" t="n">
        <v>76</v>
      </c>
      <c r="E976" s="4" t="inlineStr">
        <is>
          <t>reformado</t>
        </is>
      </c>
      <c r="F976" s="22" t="n">
        <v>517000</v>
      </c>
      <c r="G976" s="23" t="n">
        <v>6802.63</v>
      </c>
      <c r="H976" s="22" t="n">
        <v>434526</v>
      </c>
      <c r="I976" s="23" t="n">
        <v>5717.44</v>
      </c>
      <c r="J976" s="18" t="n">
        <v>0.1898</v>
      </c>
      <c r="K976" s="24" t="n">
        <v>2.5</v>
      </c>
      <c r="L976" s="4" t="n">
        <v>17</v>
      </c>
      <c r="M976" s="4" t="inlineStr">
        <is>
          <t>media</t>
        </is>
      </c>
      <c r="N976" s="4" t="inlineStr">
        <is>
          <t>por encima de comparables</t>
        </is>
      </c>
      <c r="O976" s="4" t="n"/>
    </row>
    <row r="977">
      <c r="A977" s="4" t="inlineStr">
        <is>
          <t>MD-0889</t>
        </is>
      </c>
      <c r="B977" s="21" t="n">
        <v>46076</v>
      </c>
      <c r="C977" s="4" t="inlineStr">
        <is>
          <t>Chamartin</t>
        </is>
      </c>
      <c r="D977" s="4" t="n">
        <v>80</v>
      </c>
      <c r="E977" s="4" t="inlineStr">
        <is>
          <t>buen estado</t>
        </is>
      </c>
      <c r="F977" s="22" t="n">
        <v>615000</v>
      </c>
      <c r="G977" s="23" t="n">
        <v>7687.5</v>
      </c>
      <c r="H977" s="22" t="n">
        <v>576447</v>
      </c>
      <c r="I977" s="23" t="n">
        <v>7205.59</v>
      </c>
      <c r="J977" s="18" t="n">
        <v>0.0669</v>
      </c>
      <c r="K977" s="24" t="n">
        <v>33.3</v>
      </c>
      <c r="L977" s="4" t="n">
        <v>16</v>
      </c>
      <c r="M977" s="4" t="inlineStr">
        <is>
          <t>alta</t>
        </is>
      </c>
      <c r="N977" s="4" t="inlineStr">
        <is>
          <t>en linea con comparables</t>
        </is>
      </c>
      <c r="O977" s="4" t="n"/>
    </row>
    <row r="978">
      <c r="A978" s="4" t="inlineStr">
        <is>
          <t>MD-1401</t>
        </is>
      </c>
      <c r="B978" s="21" t="n">
        <v>46076</v>
      </c>
      <c r="C978" s="4" t="inlineStr">
        <is>
          <t>Tetuan</t>
        </is>
      </c>
      <c r="D978" s="4" t="n">
        <v>95</v>
      </c>
      <c r="E978" s="4" t="inlineStr">
        <is>
          <t>buen estado</t>
        </is>
      </c>
      <c r="F978" s="22" t="n">
        <v>434000</v>
      </c>
      <c r="G978" s="23" t="n">
        <v>4568.42</v>
      </c>
      <c r="H978" s="22" t="n">
        <v>479905</v>
      </c>
      <c r="I978" s="23" t="n">
        <v>5051.63</v>
      </c>
      <c r="J978" s="18" t="n">
        <v>-0.09569999999999999</v>
      </c>
      <c r="K978" s="24" t="n">
        <v>73.90000000000001</v>
      </c>
      <c r="L978" s="4" t="n">
        <v>12</v>
      </c>
      <c r="M978" s="4" t="inlineStr">
        <is>
          <t>media</t>
        </is>
      </c>
      <c r="N978" s="4" t="inlineStr">
        <is>
          <t>en linea con comparables</t>
        </is>
      </c>
      <c r="O978" s="4" t="n"/>
    </row>
    <row r="979">
      <c r="A979" s="4" t="inlineStr">
        <is>
          <t>MD-0651</t>
        </is>
      </c>
      <c r="B979" s="21" t="n">
        <v>46077</v>
      </c>
      <c r="C979" s="4" t="inlineStr">
        <is>
          <t>Carabanchel</t>
        </is>
      </c>
      <c r="D979" s="4" t="n">
        <v>55</v>
      </c>
      <c r="E979" s="4" t="inlineStr">
        <is>
          <t>a reformar</t>
        </is>
      </c>
      <c r="F979" s="22" t="n">
        <v>160000</v>
      </c>
      <c r="G979" s="23" t="n">
        <v>2909.09</v>
      </c>
      <c r="H979" s="22" t="n">
        <v>158850</v>
      </c>
      <c r="I979" s="23" t="n">
        <v>2888.17</v>
      </c>
      <c r="J979" s="18" t="n">
        <v>0.0072</v>
      </c>
      <c r="K979" s="24" t="n">
        <v>48.2</v>
      </c>
      <c r="L979" s="4" t="n">
        <v>25</v>
      </c>
      <c r="M979" s="4" t="inlineStr">
        <is>
          <t>alta</t>
        </is>
      </c>
      <c r="N979" s="4" t="inlineStr">
        <is>
          <t>en linea con comparables</t>
        </is>
      </c>
      <c r="O979" s="4" t="n"/>
    </row>
    <row r="980">
      <c r="A980" s="4" t="inlineStr">
        <is>
          <t>MD-0129</t>
        </is>
      </c>
      <c r="B980" s="21" t="n">
        <v>46077</v>
      </c>
      <c r="C980" s="4" t="inlineStr">
        <is>
          <t>Fuencarral-El Pardo</t>
        </is>
      </c>
      <c r="D980" s="4" t="n">
        <v>47</v>
      </c>
      <c r="E980" s="4" t="inlineStr">
        <is>
          <t>buen estado</t>
        </is>
      </c>
      <c r="F980" s="22" t="n">
        <v>209000</v>
      </c>
      <c r="G980" s="23" t="n">
        <v>4446.81</v>
      </c>
      <c r="H980" s="22" t="n">
        <v>239327</v>
      </c>
      <c r="I980" s="23" t="n">
        <v>5092.06</v>
      </c>
      <c r="J980" s="18" t="n">
        <v>-0.1267</v>
      </c>
      <c r="K980" s="24" t="n">
        <v>81.7</v>
      </c>
      <c r="L980" s="4" t="n">
        <v>12</v>
      </c>
      <c r="M980" s="4" t="inlineStr">
        <is>
          <t>media</t>
        </is>
      </c>
      <c r="N980" s="4" t="inlineStr">
        <is>
          <t>por debajo de comparables</t>
        </is>
      </c>
      <c r="O980" s="4" t="n"/>
    </row>
    <row r="981">
      <c r="A981" s="4" t="inlineStr">
        <is>
          <t>MD-0363</t>
        </is>
      </c>
      <c r="B981" s="21" t="n">
        <v>46077</v>
      </c>
      <c r="C981" s="4" t="inlineStr">
        <is>
          <t>Chamberi</t>
        </is>
      </c>
      <c r="D981" s="4" t="n">
        <v>54</v>
      </c>
      <c r="E981" s="4" t="inlineStr">
        <is>
          <t>buen estado</t>
        </is>
      </c>
      <c r="F981" s="22" t="n">
        <v>464000</v>
      </c>
      <c r="G981" s="23" t="n">
        <v>8592.59</v>
      </c>
      <c r="H981" s="22" t="n">
        <v>474860</v>
      </c>
      <c r="I981" s="23" t="n">
        <v>8793.700000000001</v>
      </c>
      <c r="J981" s="18" t="n">
        <v>-0.0229</v>
      </c>
      <c r="K981" s="24" t="n">
        <v>55.7</v>
      </c>
      <c r="L981" s="4" t="n">
        <v>9</v>
      </c>
      <c r="M981" s="4" t="inlineStr">
        <is>
          <t>media</t>
        </is>
      </c>
      <c r="N981" s="4" t="inlineStr">
        <is>
          <t>en linea con comparables</t>
        </is>
      </c>
      <c r="O981" s="4" t="n"/>
    </row>
    <row r="982">
      <c r="A982" s="4" t="inlineStr">
        <is>
          <t>MD-0332</t>
        </is>
      </c>
      <c r="B982" s="21" t="n">
        <v>46077</v>
      </c>
      <c r="C982" s="4" t="inlineStr">
        <is>
          <t>Puente de Vallecas</t>
        </is>
      </c>
      <c r="D982" s="4" t="n">
        <v>37</v>
      </c>
      <c r="E982" s="4" t="inlineStr">
        <is>
          <t>a reformar</t>
        </is>
      </c>
      <c r="F982" s="22" t="n">
        <v>91000</v>
      </c>
      <c r="G982" s="23" t="n">
        <v>2459.46</v>
      </c>
      <c r="H982" s="22" t="n">
        <v>88468</v>
      </c>
      <c r="I982" s="23" t="n">
        <v>2391.02</v>
      </c>
      <c r="J982" s="18" t="n">
        <v>0.0286</v>
      </c>
      <c r="K982" s="24" t="n">
        <v>42.8</v>
      </c>
      <c r="L982" s="4" t="n">
        <v>17</v>
      </c>
      <c r="M982" s="4" t="inlineStr">
        <is>
          <t>alta</t>
        </is>
      </c>
      <c r="N982" s="4" t="inlineStr">
        <is>
          <t>en linea con comparables</t>
        </is>
      </c>
      <c r="O982" s="4" t="n"/>
    </row>
    <row r="983">
      <c r="A983" s="4" t="inlineStr">
        <is>
          <t>MD-0499</t>
        </is>
      </c>
      <c r="B983" s="21" t="n">
        <v>46078</v>
      </c>
      <c r="C983" s="4" t="inlineStr">
        <is>
          <t>Hortaleza</t>
        </is>
      </c>
      <c r="D983" s="4" t="n">
        <v>189</v>
      </c>
      <c r="E983" s="4" t="inlineStr">
        <is>
          <t>reformado</t>
        </is>
      </c>
      <c r="F983" s="22" t="n">
        <v>1231000</v>
      </c>
      <c r="G983" s="23" t="n">
        <v>6513.23</v>
      </c>
      <c r="H983" s="22" t="n">
        <v>1059826</v>
      </c>
      <c r="I983" s="23" t="n">
        <v>5607.55</v>
      </c>
      <c r="J983" s="18" t="n">
        <v>0.1615</v>
      </c>
      <c r="K983" s="24" t="n">
        <v>9.6</v>
      </c>
      <c r="L983" s="4" t="n">
        <v>14</v>
      </c>
      <c r="M983" s="4" t="inlineStr">
        <is>
          <t>media</t>
        </is>
      </c>
      <c r="N983" s="4" t="inlineStr">
        <is>
          <t>por encima de comparables</t>
        </is>
      </c>
      <c r="O983" s="4" t="n"/>
    </row>
    <row r="984">
      <c r="A984" s="4" t="inlineStr">
        <is>
          <t>MD-0879</t>
        </is>
      </c>
      <c r="B984" s="21" t="n">
        <v>46078</v>
      </c>
      <c r="C984" s="4" t="inlineStr">
        <is>
          <t>Tetuan</t>
        </is>
      </c>
      <c r="D984" s="4" t="n">
        <v>65</v>
      </c>
      <c r="E984" s="4" t="inlineStr">
        <is>
          <t>buen estado</t>
        </is>
      </c>
      <c r="F984" s="22" t="n">
        <v>365000</v>
      </c>
      <c r="G984" s="23" t="n">
        <v>5615.38</v>
      </c>
      <c r="H984" s="22" t="n">
        <v>329688</v>
      </c>
      <c r="I984" s="23" t="n">
        <v>5072.12</v>
      </c>
      <c r="J984" s="18" t="n">
        <v>0.1071</v>
      </c>
      <c r="K984" s="24" t="n">
        <v>23.2</v>
      </c>
      <c r="L984" s="4" t="n">
        <v>14</v>
      </c>
      <c r="M984" s="4" t="inlineStr">
        <is>
          <t>media</t>
        </is>
      </c>
      <c r="N984" s="4" t="inlineStr">
        <is>
          <t>por encima de comparables</t>
        </is>
      </c>
      <c r="O984" s="4" t="n"/>
    </row>
    <row r="985">
      <c r="A985" s="4" t="inlineStr">
        <is>
          <t>MD-0998</t>
        </is>
      </c>
      <c r="B985" s="21" t="n">
        <v>46079</v>
      </c>
      <c r="C985" s="4" t="inlineStr">
        <is>
          <t>Ciudad Lineal</t>
        </is>
      </c>
      <c r="D985" s="4" t="n">
        <v>37</v>
      </c>
      <c r="E985" s="4" t="inlineStr">
        <is>
          <t>buen estado</t>
        </is>
      </c>
      <c r="F985" s="22" t="n">
        <v>209000</v>
      </c>
      <c r="G985" s="23" t="n">
        <v>5648.65</v>
      </c>
      <c r="H985" s="22" t="n">
        <v>173560</v>
      </c>
      <c r="I985" s="23" t="n">
        <v>4690.82</v>
      </c>
      <c r="J985" s="18" t="n">
        <v>0.2042</v>
      </c>
      <c r="K985" s="24" t="n">
        <v>0</v>
      </c>
      <c r="L985" s="4" t="n">
        <v>8</v>
      </c>
      <c r="M985" s="4" t="inlineStr">
        <is>
          <t>media</t>
        </is>
      </c>
      <c r="N985" s="4" t="inlineStr">
        <is>
          <t>por encima de comparables</t>
        </is>
      </c>
      <c r="O985" s="4" t="n"/>
    </row>
    <row r="986">
      <c r="A986" s="4" t="inlineStr">
        <is>
          <t>MD-0192</t>
        </is>
      </c>
      <c r="B986" s="21" t="n">
        <v>46079</v>
      </c>
      <c r="C986" s="4" t="inlineStr">
        <is>
          <t>Salamanca</t>
        </is>
      </c>
      <c r="D986" s="4" t="n">
        <v>30</v>
      </c>
      <c r="E986" s="4" t="inlineStr">
        <is>
          <t>buen estado</t>
        </is>
      </c>
      <c r="F986" s="22" t="n">
        <v>251000</v>
      </c>
      <c r="G986" s="23" t="n">
        <v>8366.67</v>
      </c>
      <c r="H986" s="22" t="n"/>
      <c r="I986" s="23" t="n"/>
      <c r="J986" s="18" t="n"/>
      <c r="K986" s="24" t="n"/>
      <c r="L986" s="4" t="n">
        <v>3</v>
      </c>
      <c r="M986" s="4" t="inlineStr">
        <is>
          <t>sin muestra</t>
        </is>
      </c>
      <c r="N986" s="4" t="inlineStr">
        <is>
          <t>no valorable</t>
        </is>
      </c>
      <c r="O986" s="4" t="inlineStr">
        <is>
          <t>segmento con pocas operaciones comparables</t>
        </is>
      </c>
    </row>
    <row r="987">
      <c r="A987" s="4" t="inlineStr">
        <is>
          <t>MD-0723</t>
        </is>
      </c>
      <c r="B987" s="21" t="n">
        <v>46079</v>
      </c>
      <c r="C987" s="4" t="inlineStr">
        <is>
          <t>San Blas-Canillejas</t>
        </is>
      </c>
      <c r="D987" s="4" t="n">
        <v>121</v>
      </c>
      <c r="E987" s="4" t="inlineStr">
        <is>
          <t>buen estado</t>
        </is>
      </c>
      <c r="F987" s="22" t="n">
        <v>441000</v>
      </c>
      <c r="G987" s="23" t="n">
        <v>3644.63</v>
      </c>
      <c r="H987" s="22" t="n">
        <v>409272</v>
      </c>
      <c r="I987" s="23" t="n">
        <v>3382.41</v>
      </c>
      <c r="J987" s="18" t="n">
        <v>0.0775</v>
      </c>
      <c r="K987" s="24" t="n">
        <v>30.6</v>
      </c>
      <c r="L987" s="4" t="n">
        <v>12</v>
      </c>
      <c r="M987" s="4" t="inlineStr">
        <is>
          <t>media</t>
        </is>
      </c>
      <c r="N987" s="4" t="inlineStr">
        <is>
          <t>en linea con comparables</t>
        </is>
      </c>
      <c r="O987" s="4" t="n"/>
    </row>
    <row r="988">
      <c r="A988" s="4" t="inlineStr">
        <is>
          <t>MD-1305</t>
        </is>
      </c>
      <c r="B988" s="21" t="n">
        <v>46079</v>
      </c>
      <c r="C988" s="4" t="inlineStr">
        <is>
          <t>Salamanca</t>
        </is>
      </c>
      <c r="D988" s="4" t="n">
        <v>139</v>
      </c>
      <c r="E988" s="4" t="inlineStr">
        <is>
          <t>buen estado</t>
        </is>
      </c>
      <c r="F988" s="22" t="n">
        <v>1583000</v>
      </c>
      <c r="G988" s="23" t="n">
        <v>11388.49</v>
      </c>
      <c r="H988" s="22" t="n">
        <v>1271829</v>
      </c>
      <c r="I988" s="23" t="n">
        <v>9149.85</v>
      </c>
      <c r="J988" s="18" t="n">
        <v>0.2447</v>
      </c>
      <c r="K988" s="24" t="n">
        <v>0</v>
      </c>
      <c r="L988" s="4" t="n">
        <v>7</v>
      </c>
      <c r="M988" s="4" t="inlineStr">
        <is>
          <t>baja</t>
        </is>
      </c>
      <c r="N988" s="4" t="inlineStr">
        <is>
          <t>por encima de comparables</t>
        </is>
      </c>
      <c r="O988" s="4" t="n"/>
    </row>
    <row r="989">
      <c r="A989" s="4" t="inlineStr">
        <is>
          <t>MD-1949</t>
        </is>
      </c>
      <c r="B989" s="21" t="n">
        <v>46079</v>
      </c>
      <c r="C989" s="4" t="inlineStr">
        <is>
          <t>Arganzuela</t>
        </is>
      </c>
      <c r="D989" s="4" t="n">
        <v>56</v>
      </c>
      <c r="E989" s="4" t="inlineStr">
        <is>
          <t>buen estado</t>
        </is>
      </c>
      <c r="F989" s="22" t="n">
        <v>338000</v>
      </c>
      <c r="G989" s="23" t="n">
        <v>6035.71</v>
      </c>
      <c r="H989" s="22" t="n">
        <v>364835</v>
      </c>
      <c r="I989" s="23" t="n">
        <v>6514.91</v>
      </c>
      <c r="J989" s="18" t="n">
        <v>-0.0736</v>
      </c>
      <c r="K989" s="24" t="n">
        <v>68.40000000000001</v>
      </c>
      <c r="L989" s="4" t="n">
        <v>14</v>
      </c>
      <c r="M989" s="4" t="inlineStr">
        <is>
          <t>media</t>
        </is>
      </c>
      <c r="N989" s="4" t="inlineStr">
        <is>
          <t>en linea con comparables</t>
        </is>
      </c>
      <c r="O989" s="4" t="n"/>
    </row>
    <row r="990">
      <c r="A990" s="4" t="inlineStr">
        <is>
          <t>MD-1638</t>
        </is>
      </c>
      <c r="B990" s="21" t="n">
        <v>46079</v>
      </c>
      <c r="C990" s="4" t="inlineStr">
        <is>
          <t>Retiro</t>
        </is>
      </c>
      <c r="D990" s="4" t="n">
        <v>148</v>
      </c>
      <c r="E990" s="4" t="inlineStr">
        <is>
          <t>a reformar</t>
        </is>
      </c>
      <c r="F990" s="22" t="n">
        <v>759000</v>
      </c>
      <c r="G990" s="23" t="n">
        <v>5128.38</v>
      </c>
      <c r="H990" s="22" t="n">
        <v>853162</v>
      </c>
      <c r="I990" s="23" t="n">
        <v>5764.61</v>
      </c>
      <c r="J990" s="18" t="n">
        <v>-0.1104</v>
      </c>
      <c r="K990" s="24" t="n">
        <v>77.59999999999999</v>
      </c>
      <c r="L990" s="4" t="n">
        <v>12</v>
      </c>
      <c r="M990" s="4" t="inlineStr">
        <is>
          <t>baja</t>
        </is>
      </c>
      <c r="N990" s="4" t="inlineStr">
        <is>
          <t>por debajo de comparables</t>
        </is>
      </c>
      <c r="O990" s="4" t="n"/>
    </row>
    <row r="991">
      <c r="A991" s="4" t="inlineStr">
        <is>
          <t>MD-0435</t>
        </is>
      </c>
      <c r="B991" s="21" t="n">
        <v>46079</v>
      </c>
      <c r="C991" s="4" t="inlineStr">
        <is>
          <t>Carabanchel</t>
        </is>
      </c>
      <c r="D991" s="4" t="n">
        <v>70</v>
      </c>
      <c r="E991" s="4" t="inlineStr">
        <is>
          <t>reformado</t>
        </is>
      </c>
      <c r="F991" s="22" t="n">
        <v>219000</v>
      </c>
      <c r="G991" s="23" t="n">
        <v>3128.57</v>
      </c>
      <c r="H991" s="22" t="n">
        <v>271368</v>
      </c>
      <c r="I991" s="23" t="n">
        <v>3876.68</v>
      </c>
      <c r="J991" s="18" t="n">
        <v>-0.193</v>
      </c>
      <c r="K991" s="24" t="n">
        <v>98.2</v>
      </c>
      <c r="L991" s="4" t="n">
        <v>26</v>
      </c>
      <c r="M991" s="4" t="inlineStr">
        <is>
          <t>alta</t>
        </is>
      </c>
      <c r="N991" s="4" t="inlineStr">
        <is>
          <t>por debajo de comparables</t>
        </is>
      </c>
      <c r="O991" s="4" t="n"/>
    </row>
    <row r="992">
      <c r="A992" s="4" t="inlineStr">
        <is>
          <t>MD-0381</t>
        </is>
      </c>
      <c r="B992" s="21" t="n">
        <v>46080</v>
      </c>
      <c r="C992" s="4" t="inlineStr">
        <is>
          <t>Fuencarral-El Pardo</t>
        </is>
      </c>
      <c r="D992" s="4" t="n">
        <v>89</v>
      </c>
      <c r="E992" s="4" t="inlineStr">
        <is>
          <t>a reformar</t>
        </is>
      </c>
      <c r="F992" s="22" t="n">
        <v>294000</v>
      </c>
      <c r="G992" s="23" t="n">
        <v>3303.37</v>
      </c>
      <c r="H992" s="22" t="n">
        <v>334853</v>
      </c>
      <c r="I992" s="23" t="n">
        <v>3762.4</v>
      </c>
      <c r="J992" s="18" t="n">
        <v>-0.122</v>
      </c>
      <c r="K992" s="24" t="n">
        <v>80.5</v>
      </c>
      <c r="L992" s="4" t="n">
        <v>19</v>
      </c>
      <c r="M992" s="4" t="inlineStr">
        <is>
          <t>alta</t>
        </is>
      </c>
      <c r="N992" s="4" t="inlineStr">
        <is>
          <t>por debajo de comparables</t>
        </is>
      </c>
      <c r="O992" s="4" t="n"/>
    </row>
    <row r="993">
      <c r="A993" s="4" t="inlineStr">
        <is>
          <t>MD-1046</t>
        </is>
      </c>
      <c r="B993" s="21" t="n">
        <v>46080</v>
      </c>
      <c r="C993" s="4" t="inlineStr">
        <is>
          <t>Arganzuela</t>
        </is>
      </c>
      <c r="D993" s="4" t="n">
        <v>69</v>
      </c>
      <c r="E993" s="4" t="inlineStr">
        <is>
          <t>buen estado</t>
        </is>
      </c>
      <c r="F993" s="22" t="n">
        <v>379000</v>
      </c>
      <c r="G993" s="23" t="n">
        <v>5492.75</v>
      </c>
      <c r="H993" s="22" t="n">
        <v>434143</v>
      </c>
      <c r="I993" s="23" t="n">
        <v>6291.93</v>
      </c>
      <c r="J993" s="18" t="n">
        <v>-0.127</v>
      </c>
      <c r="K993" s="24" t="n">
        <v>81.8</v>
      </c>
      <c r="L993" s="4" t="n">
        <v>18</v>
      </c>
      <c r="M993" s="4" t="inlineStr">
        <is>
          <t>media</t>
        </is>
      </c>
      <c r="N993" s="4" t="inlineStr">
        <is>
          <t>por debajo de comparables</t>
        </is>
      </c>
      <c r="O993" s="4" t="n"/>
    </row>
    <row r="994">
      <c r="A994" s="4" t="inlineStr">
        <is>
          <t>MD-1941</t>
        </is>
      </c>
      <c r="B994" s="21" t="n">
        <v>46081</v>
      </c>
      <c r="C994" s="4" t="inlineStr">
        <is>
          <t>Centro</t>
        </is>
      </c>
      <c r="D994" s="4" t="n">
        <v>55</v>
      </c>
      <c r="E994" s="4" t="inlineStr">
        <is>
          <t>reformado</t>
        </is>
      </c>
      <c r="F994" s="22" t="n">
        <v>496000</v>
      </c>
      <c r="G994" s="23" t="n">
        <v>9018.18</v>
      </c>
      <c r="H994" s="22" t="n">
        <v>463456</v>
      </c>
      <c r="I994" s="23" t="n">
        <v>8426.48</v>
      </c>
      <c r="J994" s="18" t="n">
        <v>0.0702</v>
      </c>
      <c r="K994" s="24" t="n">
        <v>32.4</v>
      </c>
      <c r="L994" s="4" t="n">
        <v>18</v>
      </c>
      <c r="M994" s="4" t="inlineStr">
        <is>
          <t>alta</t>
        </is>
      </c>
      <c r="N994" s="4" t="inlineStr">
        <is>
          <t>en linea con comparables</t>
        </is>
      </c>
      <c r="O994" s="4" t="n"/>
    </row>
    <row r="995">
      <c r="A995" s="4" t="inlineStr">
        <is>
          <t>MD-1275</t>
        </is>
      </c>
      <c r="B995" s="21" t="n">
        <v>46081</v>
      </c>
      <c r="C995" s="4" t="inlineStr">
        <is>
          <t>Ciudad Lineal</t>
        </is>
      </c>
      <c r="D995" s="4" t="n">
        <v>45</v>
      </c>
      <c r="E995" s="4" t="inlineStr">
        <is>
          <t>reformado</t>
        </is>
      </c>
      <c r="F995" s="22" t="n">
        <v>313000</v>
      </c>
      <c r="G995" s="23" t="n">
        <v>6955.56</v>
      </c>
      <c r="H995" s="22" t="n">
        <v>238647</v>
      </c>
      <c r="I995" s="23" t="n">
        <v>5303.26</v>
      </c>
      <c r="J995" s="18" t="n">
        <v>0.3116</v>
      </c>
      <c r="K995" s="24" t="n">
        <v>0</v>
      </c>
      <c r="L995" s="4" t="n">
        <v>19</v>
      </c>
      <c r="M995" s="4" t="inlineStr">
        <is>
          <t>alta</t>
        </is>
      </c>
      <c r="N995" s="4" t="inlineStr">
        <is>
          <t>por encima de comparables</t>
        </is>
      </c>
      <c r="O995" s="4" t="n"/>
    </row>
    <row r="996">
      <c r="A996" s="4" t="inlineStr">
        <is>
          <t>MD-1666</t>
        </is>
      </c>
      <c r="B996" s="21" t="n">
        <v>46081</v>
      </c>
      <c r="C996" s="4" t="inlineStr">
        <is>
          <t>Chamartin</t>
        </is>
      </c>
      <c r="D996" s="4" t="n">
        <v>91</v>
      </c>
      <c r="E996" s="4" t="inlineStr">
        <is>
          <t>buen estado</t>
        </is>
      </c>
      <c r="F996" s="22" t="n">
        <v>737000</v>
      </c>
      <c r="G996" s="23" t="n">
        <v>8098.9</v>
      </c>
      <c r="H996" s="22" t="n">
        <v>753620</v>
      </c>
      <c r="I996" s="23" t="n">
        <v>8281.540000000001</v>
      </c>
      <c r="J996" s="18" t="n">
        <v>-0.0221</v>
      </c>
      <c r="K996" s="24" t="n">
        <v>55.5</v>
      </c>
      <c r="L996" s="4" t="n">
        <v>19</v>
      </c>
      <c r="M996" s="4" t="inlineStr">
        <is>
          <t>alta</t>
        </is>
      </c>
      <c r="N996" s="4" t="inlineStr">
        <is>
          <t>en linea con comparables</t>
        </is>
      </c>
      <c r="O996" s="4" t="n"/>
    </row>
    <row r="997">
      <c r="A997" s="4" t="inlineStr">
        <is>
          <t>MD-1604</t>
        </is>
      </c>
      <c r="B997" s="21" t="n">
        <v>46081</v>
      </c>
      <c r="C997" s="4" t="inlineStr">
        <is>
          <t>Carabanchel</t>
        </is>
      </c>
      <c r="D997" s="4" t="n">
        <v>64</v>
      </c>
      <c r="E997" s="4" t="inlineStr">
        <is>
          <t>buen estado</t>
        </is>
      </c>
      <c r="F997" s="22" t="n">
        <v>187000</v>
      </c>
      <c r="G997" s="23" t="n">
        <v>2921.88</v>
      </c>
      <c r="H997" s="22" t="n">
        <v>199288</v>
      </c>
      <c r="I997" s="23" t="n">
        <v>3113.88</v>
      </c>
      <c r="J997" s="18" t="n">
        <v>-0.0617</v>
      </c>
      <c r="K997" s="24" t="n">
        <v>65.40000000000001</v>
      </c>
      <c r="L997" s="4" t="n">
        <v>27</v>
      </c>
      <c r="M997" s="4" t="inlineStr">
        <is>
          <t>alta</t>
        </is>
      </c>
      <c r="N997" s="4" t="inlineStr">
        <is>
          <t>en linea con comparables</t>
        </is>
      </c>
      <c r="O997" s="4" t="n"/>
    </row>
    <row r="998">
      <c r="A998" s="4" t="inlineStr">
        <is>
          <t>MD-0731</t>
        </is>
      </c>
      <c r="B998" s="21" t="n">
        <v>46081</v>
      </c>
      <c r="C998" s="4" t="inlineStr">
        <is>
          <t>Vicalvaro</t>
        </is>
      </c>
      <c r="D998" s="4" t="n">
        <v>187</v>
      </c>
      <c r="E998" s="4" t="inlineStr">
        <is>
          <t>buen estado</t>
        </is>
      </c>
      <c r="F998" s="22" t="n">
        <v>737000</v>
      </c>
      <c r="G998" s="23" t="n">
        <v>3941.18</v>
      </c>
      <c r="H998" s="22" t="n">
        <v>690517</v>
      </c>
      <c r="I998" s="23" t="n">
        <v>3692.6</v>
      </c>
      <c r="J998" s="18" t="n">
        <v>0.0673</v>
      </c>
      <c r="K998" s="24" t="n">
        <v>33.2</v>
      </c>
      <c r="L998" s="4" t="n">
        <v>12</v>
      </c>
      <c r="M998" s="4" t="inlineStr">
        <is>
          <t>media</t>
        </is>
      </c>
      <c r="N998" s="4" t="inlineStr">
        <is>
          <t>en linea con comparables</t>
        </is>
      </c>
      <c r="O998" s="4" t="n"/>
    </row>
    <row r="999">
      <c r="A999" s="4" t="inlineStr">
        <is>
          <t>MD-1897</t>
        </is>
      </c>
      <c r="B999" s="21" t="n">
        <v>46081</v>
      </c>
      <c r="C999" s="4" t="inlineStr">
        <is>
          <t>Fuencarral-El Pardo</t>
        </is>
      </c>
      <c r="D999" s="4" t="n">
        <v>30</v>
      </c>
      <c r="E999" s="4" t="inlineStr">
        <is>
          <t>a reformar</t>
        </is>
      </c>
      <c r="F999" s="22" t="n">
        <v>117000</v>
      </c>
      <c r="G999" s="23" t="n">
        <v>3900</v>
      </c>
      <c r="H999" s="22" t="n"/>
      <c r="I999" s="23" t="n"/>
      <c r="J999" s="18" t="n"/>
      <c r="K999" s="24" t="n"/>
      <c r="L999" s="4" t="n">
        <v>2</v>
      </c>
      <c r="M999" s="4" t="inlineStr">
        <is>
          <t>sin muestra</t>
        </is>
      </c>
      <c r="N999" s="4" t="inlineStr">
        <is>
          <t>no valorable</t>
        </is>
      </c>
      <c r="O999" s="4" t="inlineStr">
        <is>
          <t>segmento con pocas operaciones comparables</t>
        </is>
      </c>
    </row>
    <row r="1000">
      <c r="A1000" s="4" t="inlineStr">
        <is>
          <t>MD-0567</t>
        </is>
      </c>
      <c r="B1000" s="21" t="n">
        <v>46081</v>
      </c>
      <c r="C1000" s="4" t="inlineStr">
        <is>
          <t>Puente de Vallecas</t>
        </is>
      </c>
      <c r="D1000" s="4" t="n">
        <v>38</v>
      </c>
      <c r="E1000" s="4" t="inlineStr">
        <is>
          <t>buen estado</t>
        </is>
      </c>
      <c r="F1000" s="22" t="n">
        <v>117000</v>
      </c>
      <c r="G1000" s="23" t="n">
        <v>3078.95</v>
      </c>
      <c r="H1000" s="22" t="n">
        <v>106314</v>
      </c>
      <c r="I1000" s="23" t="n">
        <v>2797.72</v>
      </c>
      <c r="J1000" s="18" t="n">
        <v>0.1005</v>
      </c>
      <c r="K1000" s="24" t="n">
        <v>24.9</v>
      </c>
      <c r="L1000" s="4" t="n">
        <v>18</v>
      </c>
      <c r="M1000" s="4" t="inlineStr">
        <is>
          <t>alta</t>
        </is>
      </c>
      <c r="N1000" s="4" t="inlineStr">
        <is>
          <t>por encima de comparables</t>
        </is>
      </c>
      <c r="O1000" s="4" t="n"/>
    </row>
    <row r="1001">
      <c r="A1001" s="4" t="inlineStr">
        <is>
          <t>MD-0335</t>
        </is>
      </c>
      <c r="B1001" s="21" t="n">
        <v>46082</v>
      </c>
      <c r="C1001" s="4" t="inlineStr">
        <is>
          <t>Chamartin</t>
        </is>
      </c>
      <c r="D1001" s="4" t="n">
        <v>146</v>
      </c>
      <c r="E1001" s="4" t="inlineStr">
        <is>
          <t>buen estado</t>
        </is>
      </c>
      <c r="F1001" s="22" t="n">
        <v>73000</v>
      </c>
      <c r="G1001" s="23" t="n">
        <v>500</v>
      </c>
      <c r="H1001" s="22" t="n">
        <v>951795</v>
      </c>
      <c r="I1001" s="23" t="n">
        <v>6519.15</v>
      </c>
      <c r="J1001" s="18" t="n">
        <v>-0.9233</v>
      </c>
      <c r="K1001" s="24" t="n">
        <v>100</v>
      </c>
      <c r="L1001" s="4" t="n">
        <v>7</v>
      </c>
      <c r="M1001" s="4" t="inlineStr">
        <is>
          <t>baja</t>
        </is>
      </c>
      <c r="N1001" s="4" t="inlineStr">
        <is>
          <t>por debajo de comparables</t>
        </is>
      </c>
      <c r="O1001" s="4" t="n"/>
    </row>
    <row r="1002">
      <c r="A1002" s="4" t="inlineStr">
        <is>
          <t>MD-1003</t>
        </is>
      </c>
      <c r="B1002" s="21" t="n">
        <v>46082</v>
      </c>
      <c r="C1002" s="4" t="inlineStr">
        <is>
          <t>Centro</t>
        </is>
      </c>
      <c r="D1002" s="4" t="n">
        <v>69</v>
      </c>
      <c r="E1002" s="4" t="inlineStr">
        <is>
          <t>a reformar</t>
        </is>
      </c>
      <c r="F1002" s="22" t="n">
        <v>531000</v>
      </c>
      <c r="G1002" s="23" t="n">
        <v>7695.65</v>
      </c>
      <c r="H1002" s="22" t="n">
        <v>465018</v>
      </c>
      <c r="I1002" s="23" t="n">
        <v>6739.4</v>
      </c>
      <c r="J1002" s="18" t="n">
        <v>0.1419</v>
      </c>
      <c r="K1002" s="24" t="n">
        <v>14.5</v>
      </c>
      <c r="L1002" s="4" t="n">
        <v>19</v>
      </c>
      <c r="M1002" s="4" t="inlineStr">
        <is>
          <t>alta</t>
        </is>
      </c>
      <c r="N1002" s="4" t="inlineStr">
        <is>
          <t>por encima de comparables</t>
        </is>
      </c>
      <c r="O1002" s="4" t="n"/>
    </row>
    <row r="1003">
      <c r="A1003" s="4" t="inlineStr">
        <is>
          <t>MD-1530</t>
        </is>
      </c>
      <c r="B1003" s="21" t="n">
        <v>46082</v>
      </c>
      <c r="C1003" s="4" t="inlineStr">
        <is>
          <t>Chamartin</t>
        </is>
      </c>
      <c r="D1003" s="4" t="n">
        <v>157</v>
      </c>
      <c r="E1003" s="4" t="inlineStr">
        <is>
          <t>a reformar</t>
        </is>
      </c>
      <c r="F1003" s="22" t="n">
        <v>915000</v>
      </c>
      <c r="G1003" s="23" t="n">
        <v>5828.03</v>
      </c>
      <c r="H1003" s="22" t="n">
        <v>1158207</v>
      </c>
      <c r="I1003" s="23" t="n">
        <v>7377.12</v>
      </c>
      <c r="J1003" s="18" t="n">
        <v>-0.21</v>
      </c>
      <c r="K1003" s="24" t="n">
        <v>100</v>
      </c>
      <c r="L1003" s="4" t="n">
        <v>12</v>
      </c>
      <c r="M1003" s="4" t="inlineStr">
        <is>
          <t>media</t>
        </is>
      </c>
      <c r="N1003" s="4" t="inlineStr">
        <is>
          <t>por debajo de comparables</t>
        </is>
      </c>
      <c r="O1003" s="4" t="n"/>
    </row>
    <row r="1004">
      <c r="A1004" s="4" t="inlineStr">
        <is>
          <t>MD-0969</t>
        </is>
      </c>
      <c r="B1004" s="21" t="n">
        <v>46082</v>
      </c>
      <c r="C1004" s="4" t="inlineStr">
        <is>
          <t>Chamartin</t>
        </is>
      </c>
      <c r="D1004" s="4" t="n">
        <v>73</v>
      </c>
      <c r="E1004" s="4" t="inlineStr">
        <is>
          <t>buen estado</t>
        </is>
      </c>
      <c r="F1004" s="22" t="n">
        <v>531000</v>
      </c>
      <c r="G1004" s="23" t="n">
        <v>7273.97</v>
      </c>
      <c r="H1004" s="22" t="n">
        <v>588545</v>
      </c>
      <c r="I1004" s="23" t="n">
        <v>8062.26</v>
      </c>
      <c r="J1004" s="18" t="n">
        <v>-0.0978</v>
      </c>
      <c r="K1004" s="24" t="n">
        <v>74.40000000000001</v>
      </c>
      <c r="L1004" s="4" t="n">
        <v>17</v>
      </c>
      <c r="M1004" s="4" t="inlineStr">
        <is>
          <t>media</t>
        </is>
      </c>
      <c r="N1004" s="4" t="inlineStr">
        <is>
          <t>en linea con comparables</t>
        </is>
      </c>
      <c r="O1004" s="4" t="n"/>
    </row>
    <row r="1005">
      <c r="A1005" s="4" t="inlineStr">
        <is>
          <t>MD-0290</t>
        </is>
      </c>
      <c r="B1005" s="21" t="n">
        <v>46082</v>
      </c>
      <c r="C1005" s="4" t="inlineStr">
        <is>
          <t>Chamartin</t>
        </is>
      </c>
      <c r="D1005" s="4" t="n">
        <v>122</v>
      </c>
      <c r="E1005" s="4" t="inlineStr">
        <is>
          <t>buen estado</t>
        </is>
      </c>
      <c r="F1005" s="22" t="n">
        <v>889000</v>
      </c>
      <c r="G1005" s="23" t="n">
        <v>7286.89</v>
      </c>
      <c r="H1005" s="22" t="n">
        <v>879436</v>
      </c>
      <c r="I1005" s="23" t="n">
        <v>7208.49</v>
      </c>
      <c r="J1005" s="18" t="n">
        <v>0.0109</v>
      </c>
      <c r="K1005" s="24" t="n">
        <v>47.3</v>
      </c>
      <c r="L1005" s="4" t="n">
        <v>14</v>
      </c>
      <c r="M1005" s="4" t="inlineStr">
        <is>
          <t>media</t>
        </is>
      </c>
      <c r="N1005" s="4" t="inlineStr">
        <is>
          <t>en linea con comparables</t>
        </is>
      </c>
      <c r="O1005" s="4" t="n"/>
    </row>
    <row r="1006">
      <c r="A1006" s="4" t="inlineStr">
        <is>
          <t>MD-0125</t>
        </is>
      </c>
      <c r="B1006" s="21" t="n">
        <v>46083</v>
      </c>
      <c r="C1006" s="4" t="inlineStr">
        <is>
          <t>Chamberi</t>
        </is>
      </c>
      <c r="D1006" s="4" t="n">
        <v>141</v>
      </c>
      <c r="E1006" s="4" t="inlineStr">
        <is>
          <t>reformado</t>
        </is>
      </c>
      <c r="F1006" s="22" t="n">
        <v>1168000</v>
      </c>
      <c r="G1006" s="23" t="n">
        <v>8283.690000000001</v>
      </c>
      <c r="H1006" s="22" t="n">
        <v>1068488</v>
      </c>
      <c r="I1006" s="23" t="n">
        <v>7577.93</v>
      </c>
      <c r="J1006" s="18" t="n">
        <v>0.0931</v>
      </c>
      <c r="K1006" s="24" t="n">
        <v>26.7</v>
      </c>
      <c r="L1006" s="4" t="n">
        <v>6</v>
      </c>
      <c r="M1006" s="4" t="inlineStr">
        <is>
          <t>baja</t>
        </is>
      </c>
      <c r="N1006" s="4" t="inlineStr">
        <is>
          <t>en linea con comparables</t>
        </is>
      </c>
      <c r="O1006" s="4" t="n"/>
    </row>
    <row r="1007">
      <c r="A1007" s="4" t="inlineStr">
        <is>
          <t>MD-0687</t>
        </is>
      </c>
      <c r="B1007" s="21" t="n">
        <v>46083</v>
      </c>
      <c r="C1007" s="4" t="inlineStr">
        <is>
          <t>Vicalvaro</t>
        </is>
      </c>
      <c r="D1007" s="4" t="n">
        <v>61</v>
      </c>
      <c r="E1007" s="4" t="inlineStr">
        <is>
          <t>buen estado</t>
        </is>
      </c>
      <c r="F1007" s="22" t="n">
        <v>227000</v>
      </c>
      <c r="G1007" s="23" t="n">
        <v>3721.31</v>
      </c>
      <c r="H1007" s="22" t="n">
        <v>228127</v>
      </c>
      <c r="I1007" s="23" t="n">
        <v>3739.79</v>
      </c>
      <c r="J1007" s="18" t="n">
        <v>-0.0049</v>
      </c>
      <c r="K1007" s="24" t="n">
        <v>51.2</v>
      </c>
      <c r="L1007" s="4" t="n">
        <v>10</v>
      </c>
      <c r="M1007" s="4" t="inlineStr">
        <is>
          <t>media</t>
        </is>
      </c>
      <c r="N1007" s="4" t="inlineStr">
        <is>
          <t>en linea con comparables</t>
        </is>
      </c>
      <c r="O1007" s="4" t="n"/>
    </row>
    <row r="1008">
      <c r="A1008" s="4" t="inlineStr">
        <is>
          <t>MD-0655</t>
        </is>
      </c>
      <c r="B1008" s="21" t="n">
        <v>46083</v>
      </c>
      <c r="C1008" s="4" t="inlineStr">
        <is>
          <t>Hortaleza</t>
        </is>
      </c>
      <c r="D1008" s="4" t="n">
        <v>98</v>
      </c>
      <c r="E1008" s="4" t="inlineStr">
        <is>
          <t>a reformar</t>
        </is>
      </c>
      <c r="F1008" s="22" t="n">
        <v>459000</v>
      </c>
      <c r="G1008" s="23" t="n">
        <v>4683.67</v>
      </c>
      <c r="H1008" s="22" t="n">
        <v>442849</v>
      </c>
      <c r="I1008" s="23" t="n">
        <v>4518.87</v>
      </c>
      <c r="J1008" s="18" t="n">
        <v>0.0365</v>
      </c>
      <c r="K1008" s="24" t="n">
        <v>40.9</v>
      </c>
      <c r="L1008" s="4" t="n">
        <v>22</v>
      </c>
      <c r="M1008" s="4" t="inlineStr">
        <is>
          <t>media</t>
        </is>
      </c>
      <c r="N1008" s="4" t="inlineStr">
        <is>
          <t>en linea con comparables</t>
        </is>
      </c>
      <c r="O1008" s="4" t="n"/>
    </row>
    <row r="1009">
      <c r="A1009" s="4" t="inlineStr">
        <is>
          <t>MD-1271</t>
        </is>
      </c>
      <c r="B1009" s="21" t="n">
        <v>46083</v>
      </c>
      <c r="C1009" s="4" t="inlineStr">
        <is>
          <t>Fuencarral-El Pardo</t>
        </is>
      </c>
      <c r="D1009" s="4" t="n">
        <v>87</v>
      </c>
      <c r="E1009" s="4" t="inlineStr">
        <is>
          <t>buen estado</t>
        </is>
      </c>
      <c r="F1009" s="22" t="n">
        <v>467000</v>
      </c>
      <c r="G1009" s="23" t="n">
        <v>5367.82</v>
      </c>
      <c r="H1009" s="22" t="n">
        <v>492747</v>
      </c>
      <c r="I1009" s="23" t="n">
        <v>5663.75</v>
      </c>
      <c r="J1009" s="18" t="n">
        <v>-0.0523</v>
      </c>
      <c r="K1009" s="24" t="n">
        <v>63.1</v>
      </c>
      <c r="L1009" s="4" t="n">
        <v>20</v>
      </c>
      <c r="M1009" s="4" t="inlineStr">
        <is>
          <t>alta</t>
        </is>
      </c>
      <c r="N1009" s="4" t="inlineStr">
        <is>
          <t>en linea con comparables</t>
        </is>
      </c>
      <c r="O1009" s="4" t="n"/>
    </row>
    <row r="1010">
      <c r="A1010" s="4" t="inlineStr">
        <is>
          <t>MD-1640</t>
        </is>
      </c>
      <c r="B1010" s="21" t="n">
        <v>46083</v>
      </c>
      <c r="C1010" s="4" t="inlineStr">
        <is>
          <t>Fuencarral-El Pardo</t>
        </is>
      </c>
      <c r="D1010" s="4" t="n">
        <v>96</v>
      </c>
      <c r="E1010" s="4" t="inlineStr">
        <is>
          <t>buen estado</t>
        </is>
      </c>
      <c r="F1010" s="22" t="n">
        <v>370000</v>
      </c>
      <c r="G1010" s="23" t="n">
        <v>3854.17</v>
      </c>
      <c r="H1010" s="22" t="n">
        <v>485315</v>
      </c>
      <c r="I1010" s="23" t="n">
        <v>5055.36</v>
      </c>
      <c r="J1010" s="18" t="n">
        <v>-0.2376</v>
      </c>
      <c r="K1010" s="24" t="n">
        <v>100</v>
      </c>
      <c r="L1010" s="4" t="n">
        <v>23</v>
      </c>
      <c r="M1010" s="4" t="inlineStr">
        <is>
          <t>alta</t>
        </is>
      </c>
      <c r="N1010" s="4" t="inlineStr">
        <is>
          <t>por debajo de comparables</t>
        </is>
      </c>
      <c r="O1010" s="4" t="n"/>
    </row>
    <row r="1011">
      <c r="A1011" s="4" t="inlineStr">
        <is>
          <t>MD-0789</t>
        </is>
      </c>
      <c r="B1011" s="21" t="n">
        <v>46083</v>
      </c>
      <c r="C1011" s="4" t="inlineStr">
        <is>
          <t>Tetuan</t>
        </is>
      </c>
      <c r="D1011" s="4" t="n">
        <v>60</v>
      </c>
      <c r="E1011" s="4" t="inlineStr">
        <is>
          <t>a reformar</t>
        </is>
      </c>
      <c r="F1011" s="22" t="n">
        <v>245000</v>
      </c>
      <c r="G1011" s="23" t="n">
        <v>4083.33</v>
      </c>
      <c r="H1011" s="22" t="n">
        <v>229852</v>
      </c>
      <c r="I1011" s="23" t="n">
        <v>3830.87</v>
      </c>
      <c r="J1011" s="18" t="n">
        <v>0.0659</v>
      </c>
      <c r="K1011" s="24" t="n">
        <v>33.5</v>
      </c>
      <c r="L1011" s="4" t="n">
        <v>15</v>
      </c>
      <c r="M1011" s="4" t="inlineStr">
        <is>
          <t>alta</t>
        </is>
      </c>
      <c r="N1011" s="4" t="inlineStr">
        <is>
          <t>en linea con comparables</t>
        </is>
      </c>
      <c r="O1011" s="4" t="n"/>
    </row>
    <row r="1012">
      <c r="A1012" s="4" t="inlineStr">
        <is>
          <t>MD-1079</t>
        </is>
      </c>
      <c r="B1012" s="21" t="n">
        <v>46083</v>
      </c>
      <c r="C1012" s="4" t="inlineStr">
        <is>
          <t>Arganzuela</t>
        </is>
      </c>
      <c r="D1012" s="4" t="n">
        <v>184</v>
      </c>
      <c r="E1012" s="4" t="inlineStr">
        <is>
          <t>reformado</t>
        </is>
      </c>
      <c r="F1012" s="22" t="n">
        <v>1237000</v>
      </c>
      <c r="G1012" s="23" t="n">
        <v>6722.83</v>
      </c>
      <c r="H1012" s="22" t="n">
        <v>1294363</v>
      </c>
      <c r="I1012" s="23" t="n">
        <v>7034.58</v>
      </c>
      <c r="J1012" s="18" t="n">
        <v>-0.0443</v>
      </c>
      <c r="K1012" s="24" t="n">
        <v>61.1</v>
      </c>
      <c r="L1012" s="4" t="n">
        <v>6</v>
      </c>
      <c r="M1012" s="4" t="inlineStr">
        <is>
          <t>baja</t>
        </is>
      </c>
      <c r="N1012" s="4" t="inlineStr">
        <is>
          <t>en linea con comparables</t>
        </is>
      </c>
      <c r="O1012" s="4" t="n"/>
    </row>
    <row r="1013">
      <c r="A1013" s="4" t="inlineStr">
        <is>
          <t>MD-1238</t>
        </is>
      </c>
      <c r="B1013" s="21" t="n">
        <v>46083</v>
      </c>
      <c r="C1013" s="4" t="inlineStr">
        <is>
          <t>San Blas-Canillejas</t>
        </is>
      </c>
      <c r="D1013" s="4" t="n">
        <v>86</v>
      </c>
      <c r="E1013" s="4" t="inlineStr">
        <is>
          <t>reformado</t>
        </is>
      </c>
      <c r="F1013" s="22" t="n">
        <v>345000</v>
      </c>
      <c r="G1013" s="23" t="n">
        <v>4011.63</v>
      </c>
      <c r="H1013" s="22" t="n">
        <v>364422</v>
      </c>
      <c r="I1013" s="23" t="n">
        <v>4237.46</v>
      </c>
      <c r="J1013" s="18" t="n">
        <v>-0.0533</v>
      </c>
      <c r="K1013" s="24" t="n">
        <v>63.3</v>
      </c>
      <c r="L1013" s="4" t="n">
        <v>15</v>
      </c>
      <c r="M1013" s="4" t="inlineStr">
        <is>
          <t>media</t>
        </is>
      </c>
      <c r="N1013" s="4" t="inlineStr">
        <is>
          <t>en linea con comparables</t>
        </is>
      </c>
      <c r="O1013" s="4" t="n"/>
    </row>
    <row r="1014">
      <c r="A1014" s="4" t="inlineStr">
        <is>
          <t>MD-0777</t>
        </is>
      </c>
      <c r="B1014" s="21" t="n">
        <v>46084</v>
      </c>
      <c r="C1014" s="4" t="inlineStr">
        <is>
          <t>Carabanchel</t>
        </is>
      </c>
      <c r="D1014" s="4" t="n">
        <v>52</v>
      </c>
      <c r="E1014" s="4" t="inlineStr">
        <is>
          <t>a reformar</t>
        </is>
      </c>
      <c r="F1014" s="22" t="n">
        <v>136000</v>
      </c>
      <c r="G1014" s="23" t="n">
        <v>2615.38</v>
      </c>
      <c r="H1014" s="22" t="n">
        <v>115081</v>
      </c>
      <c r="I1014" s="23" t="n">
        <v>2213.09</v>
      </c>
      <c r="J1014" s="18" t="n">
        <v>0.1818</v>
      </c>
      <c r="K1014" s="24" t="n">
        <v>4.6</v>
      </c>
      <c r="L1014" s="4" t="n">
        <v>24</v>
      </c>
      <c r="M1014" s="4" t="inlineStr">
        <is>
          <t>alta</t>
        </is>
      </c>
      <c r="N1014" s="4" t="inlineStr">
        <is>
          <t>por encima de comparables</t>
        </is>
      </c>
      <c r="O1014" s="4" t="n"/>
    </row>
    <row r="1015">
      <c r="A1015" s="4" t="inlineStr">
        <is>
          <t>MD-1665</t>
        </is>
      </c>
      <c r="B1015" s="21" t="n">
        <v>46084</v>
      </c>
      <c r="C1015" s="4" t="inlineStr">
        <is>
          <t>Hortaleza</t>
        </is>
      </c>
      <c r="D1015" s="4" t="n">
        <v>134</v>
      </c>
      <c r="E1015" s="4" t="inlineStr">
        <is>
          <t>a reformar</t>
        </is>
      </c>
      <c r="F1015" s="22" t="n">
        <v>656000</v>
      </c>
      <c r="G1015" s="23" t="n">
        <v>4895.52</v>
      </c>
      <c r="H1015" s="22" t="n">
        <v>595555</v>
      </c>
      <c r="I1015" s="23" t="n">
        <v>4444.44</v>
      </c>
      <c r="J1015" s="18" t="n">
        <v>0.1015</v>
      </c>
      <c r="K1015" s="24" t="n">
        <v>24.6</v>
      </c>
      <c r="L1015" s="4" t="n">
        <v>19</v>
      </c>
      <c r="M1015" s="4" t="inlineStr">
        <is>
          <t>media</t>
        </is>
      </c>
      <c r="N1015" s="4" t="inlineStr">
        <is>
          <t>por encima de comparables</t>
        </is>
      </c>
      <c r="O1015" s="4" t="n"/>
    </row>
    <row r="1016">
      <c r="A1016" s="4" t="inlineStr">
        <is>
          <t>MD-1243</t>
        </is>
      </c>
      <c r="B1016" s="21" t="n">
        <v>46084</v>
      </c>
      <c r="C1016" s="4" t="inlineStr">
        <is>
          <t>Centro</t>
        </is>
      </c>
      <c r="D1016" s="4" t="n">
        <v>51</v>
      </c>
      <c r="E1016" s="4" t="inlineStr">
        <is>
          <t>buen estado</t>
        </is>
      </c>
      <c r="F1016" s="22" t="n">
        <v>378000</v>
      </c>
      <c r="G1016" s="23" t="n">
        <v>7411.76</v>
      </c>
      <c r="H1016" s="22" t="n">
        <v>339502</v>
      </c>
      <c r="I1016" s="23" t="n">
        <v>6656.9</v>
      </c>
      <c r="J1016" s="18" t="n">
        <v>0.1134</v>
      </c>
      <c r="K1016" s="24" t="n">
        <v>21.7</v>
      </c>
      <c r="L1016" s="4" t="n">
        <v>19</v>
      </c>
      <c r="M1016" s="4" t="inlineStr">
        <is>
          <t>media</t>
        </is>
      </c>
      <c r="N1016" s="4" t="inlineStr">
        <is>
          <t>por encima de comparables</t>
        </is>
      </c>
      <c r="O1016" s="4" t="n"/>
    </row>
    <row r="1017">
      <c r="A1017" s="4" t="inlineStr">
        <is>
          <t>MD-0869</t>
        </is>
      </c>
      <c r="B1017" s="21" t="n">
        <v>46084</v>
      </c>
      <c r="C1017" s="4" t="inlineStr">
        <is>
          <t>Vicalvaro</t>
        </is>
      </c>
      <c r="D1017" s="4" t="n">
        <v>114</v>
      </c>
      <c r="E1017" s="4" t="inlineStr">
        <is>
          <t>buen estado</t>
        </is>
      </c>
      <c r="F1017" s="22" t="n">
        <v>370000</v>
      </c>
      <c r="G1017" s="23" t="n">
        <v>3245.61</v>
      </c>
      <c r="H1017" s="22" t="n">
        <v>298709</v>
      </c>
      <c r="I1017" s="23" t="n">
        <v>2620.25</v>
      </c>
      <c r="J1017" s="18" t="n">
        <v>0.2387</v>
      </c>
      <c r="K1017" s="24" t="n">
        <v>0</v>
      </c>
      <c r="L1017" s="4" t="n">
        <v>7</v>
      </c>
      <c r="M1017" s="4" t="inlineStr">
        <is>
          <t>baja</t>
        </is>
      </c>
      <c r="N1017" s="4" t="inlineStr">
        <is>
          <t>por encima de comparables</t>
        </is>
      </c>
      <c r="O1017" s="4" t="n"/>
    </row>
    <row r="1018">
      <c r="A1018" s="4" t="inlineStr">
        <is>
          <t>MD-0045</t>
        </is>
      </c>
      <c r="B1018" s="21" t="n">
        <v>46084</v>
      </c>
      <c r="C1018" s="4" t="inlineStr">
        <is>
          <t>Retiro</t>
        </is>
      </c>
      <c r="D1018" s="4" t="n">
        <v>176</v>
      </c>
      <c r="E1018" s="4" t="inlineStr">
        <is>
          <t>buen estado</t>
        </is>
      </c>
      <c r="F1018" s="22" t="n">
        <v>863000</v>
      </c>
      <c r="G1018" s="23" t="n">
        <v>4903.41</v>
      </c>
      <c r="H1018" s="22" t="n">
        <v>1076177</v>
      </c>
      <c r="I1018" s="23" t="n">
        <v>6114.64</v>
      </c>
      <c r="J1018" s="18" t="n">
        <v>-0.1981</v>
      </c>
      <c r="K1018" s="24" t="n">
        <v>99.5</v>
      </c>
      <c r="L1018" s="4" t="n">
        <v>11</v>
      </c>
      <c r="M1018" s="4" t="inlineStr">
        <is>
          <t>baja</t>
        </is>
      </c>
      <c r="N1018" s="4" t="inlineStr">
        <is>
          <t>por debajo de comparables</t>
        </is>
      </c>
      <c r="O1018" s="4" t="n"/>
    </row>
    <row r="1019">
      <c r="A1019" s="4" t="inlineStr">
        <is>
          <t>MD-1168</t>
        </is>
      </c>
      <c r="B1019" s="21" t="n">
        <v>46084</v>
      </c>
      <c r="C1019" s="4" t="inlineStr">
        <is>
          <t>Fuencarral-El Pardo</t>
        </is>
      </c>
      <c r="D1019" s="4" t="n">
        <v>123</v>
      </c>
      <c r="E1019" s="4" t="inlineStr">
        <is>
          <t>reformado</t>
        </is>
      </c>
      <c r="F1019" s="22" t="n">
        <v>887000</v>
      </c>
      <c r="G1019" s="23" t="n">
        <v>7211.38</v>
      </c>
      <c r="H1019" s="22" t="n">
        <v>771338</v>
      </c>
      <c r="I1019" s="23" t="n">
        <v>6271.04</v>
      </c>
      <c r="J1019" s="18" t="n">
        <v>0.1499</v>
      </c>
      <c r="K1019" s="24" t="n">
        <v>12.5</v>
      </c>
      <c r="L1019" s="4" t="n">
        <v>17</v>
      </c>
      <c r="M1019" s="4" t="inlineStr">
        <is>
          <t>alta</t>
        </is>
      </c>
      <c r="N1019" s="4" t="inlineStr">
        <is>
          <t>por encima de comparables</t>
        </is>
      </c>
      <c r="O1019" s="4" t="n"/>
    </row>
    <row r="1020">
      <c r="A1020" s="4" t="inlineStr">
        <is>
          <t>MD-0281</t>
        </is>
      </c>
      <c r="B1020" s="21" t="n">
        <v>46085</v>
      </c>
      <c r="C1020" s="4" t="inlineStr">
        <is>
          <t>Chamartin</t>
        </is>
      </c>
      <c r="D1020" s="4" t="n">
        <v>176</v>
      </c>
      <c r="E1020" s="4" t="inlineStr">
        <is>
          <t>a reformar</t>
        </is>
      </c>
      <c r="F1020" s="22" t="n">
        <v>880000</v>
      </c>
      <c r="G1020" s="23" t="n">
        <v>5000</v>
      </c>
      <c r="H1020" s="22" t="n">
        <v>1150068</v>
      </c>
      <c r="I1020" s="23" t="n">
        <v>6534.48</v>
      </c>
      <c r="J1020" s="18" t="n">
        <v>-0.2348</v>
      </c>
      <c r="K1020" s="24" t="n">
        <v>100</v>
      </c>
      <c r="L1020" s="4" t="n">
        <v>13</v>
      </c>
      <c r="M1020" s="4" t="inlineStr">
        <is>
          <t>media</t>
        </is>
      </c>
      <c r="N1020" s="4" t="inlineStr">
        <is>
          <t>por debajo de comparables</t>
        </is>
      </c>
      <c r="O1020" s="4" t="n"/>
    </row>
    <row r="1021">
      <c r="A1021" s="4" t="inlineStr">
        <is>
          <t>MD-0941</t>
        </is>
      </c>
      <c r="B1021" s="21" t="n">
        <v>46085</v>
      </c>
      <c r="C1021" s="4" t="inlineStr">
        <is>
          <t>Carabanchel</t>
        </is>
      </c>
      <c r="D1021" s="4" t="n">
        <v>46</v>
      </c>
      <c r="E1021" s="4" t="inlineStr">
        <is>
          <t>a reformar</t>
        </is>
      </c>
      <c r="F1021" s="22" t="n">
        <v>124000</v>
      </c>
      <c r="G1021" s="23" t="n">
        <v>2695.65</v>
      </c>
      <c r="H1021" s="22" t="n">
        <v>133185</v>
      </c>
      <c r="I1021" s="23" t="n">
        <v>2895.32</v>
      </c>
      <c r="J1021" s="18" t="n">
        <v>-0.06900000000000001</v>
      </c>
      <c r="K1021" s="24" t="n">
        <v>67.2</v>
      </c>
      <c r="L1021" s="4" t="n">
        <v>21</v>
      </c>
      <c r="M1021" s="4" t="inlineStr">
        <is>
          <t>alta</t>
        </is>
      </c>
      <c r="N1021" s="4" t="inlineStr">
        <is>
          <t>en linea con comparables</t>
        </is>
      </c>
      <c r="O1021" s="4" t="n"/>
    </row>
    <row r="1022">
      <c r="A1022" s="4" t="inlineStr">
        <is>
          <t>MD-0065</t>
        </is>
      </c>
      <c r="B1022" s="21" t="n">
        <v>46085</v>
      </c>
      <c r="C1022" s="4" t="inlineStr">
        <is>
          <t>Moratalaz</t>
        </is>
      </c>
      <c r="D1022" s="4" t="n">
        <v>77</v>
      </c>
      <c r="E1022" s="4" t="inlineStr">
        <is>
          <t>a reformar</t>
        </is>
      </c>
      <c r="F1022" s="22" t="n">
        <v>198000</v>
      </c>
      <c r="G1022" s="23" t="n">
        <v>2571.43</v>
      </c>
      <c r="H1022" s="22" t="n">
        <v>211864</v>
      </c>
      <c r="I1022" s="23" t="n">
        <v>2751.48</v>
      </c>
      <c r="J1022" s="18" t="n">
        <v>-0.0654</v>
      </c>
      <c r="K1022" s="24" t="n">
        <v>66.40000000000001</v>
      </c>
      <c r="L1022" s="4" t="n">
        <v>15</v>
      </c>
      <c r="M1022" s="4" t="inlineStr">
        <is>
          <t>media</t>
        </is>
      </c>
      <c r="N1022" s="4" t="inlineStr">
        <is>
          <t>en linea con comparables</t>
        </is>
      </c>
      <c r="O1022" s="4" t="n"/>
    </row>
    <row r="1023">
      <c r="A1023" s="4" t="inlineStr">
        <is>
          <t>MD-0307</t>
        </is>
      </c>
      <c r="B1023" s="21" t="n">
        <v>46085</v>
      </c>
      <c r="C1023" s="4" t="inlineStr">
        <is>
          <t>Hortaleza</t>
        </is>
      </c>
      <c r="D1023" s="4" t="n">
        <v>128</v>
      </c>
      <c r="E1023" s="4" t="inlineStr">
        <is>
          <t>buen estado</t>
        </is>
      </c>
      <c r="F1023" s="22" t="n">
        <v>698000</v>
      </c>
      <c r="G1023" s="23" t="n">
        <v>5453.12</v>
      </c>
      <c r="H1023" s="22" t="n">
        <v>688562</v>
      </c>
      <c r="I1023" s="23" t="n">
        <v>5379.39</v>
      </c>
      <c r="J1023" s="18" t="n">
        <v>0.0137</v>
      </c>
      <c r="K1023" s="24" t="n">
        <v>46.6</v>
      </c>
      <c r="L1023" s="4" t="n">
        <v>22</v>
      </c>
      <c r="M1023" s="4" t="inlineStr">
        <is>
          <t>media</t>
        </is>
      </c>
      <c r="N1023" s="4" t="inlineStr">
        <is>
          <t>en linea con comparables</t>
        </is>
      </c>
      <c r="O1023" s="4" t="n"/>
    </row>
    <row r="1024">
      <c r="A1024" s="4" t="inlineStr">
        <is>
          <t>MD-0457</t>
        </is>
      </c>
      <c r="B1024" s="21" t="n">
        <v>46086</v>
      </c>
      <c r="C1024" s="4" t="inlineStr">
        <is>
          <t>Hortaleza</t>
        </is>
      </c>
      <c r="D1024" s="4" t="n">
        <v>155</v>
      </c>
      <c r="E1024" s="4" t="inlineStr">
        <is>
          <t>buen estado</t>
        </is>
      </c>
      <c r="F1024" s="22" t="n">
        <v>772000</v>
      </c>
      <c r="G1024" s="23" t="n">
        <v>4980.65</v>
      </c>
      <c r="H1024" s="22" t="n">
        <v>841430</v>
      </c>
      <c r="I1024" s="23" t="n">
        <v>5428.58</v>
      </c>
      <c r="J1024" s="18" t="n">
        <v>-0.0825</v>
      </c>
      <c r="K1024" s="24" t="n">
        <v>70.59999999999999</v>
      </c>
      <c r="L1024" s="4" t="n">
        <v>23</v>
      </c>
      <c r="M1024" s="4" t="inlineStr">
        <is>
          <t>media</t>
        </is>
      </c>
      <c r="N1024" s="4" t="inlineStr">
        <is>
          <t>en linea con comparables</t>
        </is>
      </c>
      <c r="O1024" s="4" t="n"/>
    </row>
    <row r="1025">
      <c r="A1025" s="4" t="inlineStr">
        <is>
          <t>MD-0128</t>
        </is>
      </c>
      <c r="B1025" s="21" t="n">
        <v>46086</v>
      </c>
      <c r="C1025" s="4" t="inlineStr">
        <is>
          <t>Hortaleza</t>
        </is>
      </c>
      <c r="D1025" s="4" t="n">
        <v>55</v>
      </c>
      <c r="E1025" s="4" t="inlineStr">
        <is>
          <t>reformado</t>
        </is>
      </c>
      <c r="F1025" s="22" t="n">
        <v>366000</v>
      </c>
      <c r="G1025" s="23" t="n">
        <v>6654.55</v>
      </c>
      <c r="H1025" s="22" t="n">
        <v>368528</v>
      </c>
      <c r="I1025" s="23" t="n">
        <v>6700.52</v>
      </c>
      <c r="J1025" s="18" t="n">
        <v>-0.0069</v>
      </c>
      <c r="K1025" s="24" t="n">
        <v>51.7</v>
      </c>
      <c r="L1025" s="4" t="n">
        <v>9</v>
      </c>
      <c r="M1025" s="4" t="inlineStr">
        <is>
          <t>media</t>
        </is>
      </c>
      <c r="N1025" s="4" t="inlineStr">
        <is>
          <t>en linea con comparables</t>
        </is>
      </c>
      <c r="O1025" s="4" t="n"/>
    </row>
    <row r="1026">
      <c r="A1026" s="4" t="inlineStr">
        <is>
          <t>MD-0553</t>
        </is>
      </c>
      <c r="B1026" s="21" t="n">
        <v>46086</v>
      </c>
      <c r="C1026" s="4" t="inlineStr">
        <is>
          <t>Fuencarral-El Pardo</t>
        </is>
      </c>
      <c r="D1026" s="4" t="n">
        <v>143</v>
      </c>
      <c r="E1026" s="4" t="inlineStr">
        <is>
          <t>buen estado</t>
        </is>
      </c>
      <c r="F1026" s="22" t="n">
        <v>563000</v>
      </c>
      <c r="G1026" s="23" t="n">
        <v>3937.06</v>
      </c>
      <c r="H1026" s="22" t="n">
        <v>702766</v>
      </c>
      <c r="I1026" s="23" t="n">
        <v>4914.45</v>
      </c>
      <c r="J1026" s="18" t="n">
        <v>-0.1989</v>
      </c>
      <c r="K1026" s="24" t="n">
        <v>99.7</v>
      </c>
      <c r="L1026" s="4" t="n">
        <v>16</v>
      </c>
      <c r="M1026" s="4" t="inlineStr">
        <is>
          <t>alta</t>
        </is>
      </c>
      <c r="N1026" s="4" t="inlineStr">
        <is>
          <t>por debajo de comparables</t>
        </is>
      </c>
      <c r="O1026" s="4" t="n"/>
    </row>
    <row r="1027">
      <c r="A1027" s="4" t="inlineStr">
        <is>
          <t>MD-1058</t>
        </is>
      </c>
      <c r="B1027" s="21" t="n">
        <v>46086</v>
      </c>
      <c r="C1027" s="4" t="inlineStr">
        <is>
          <t>Villa de Vallecas</t>
        </is>
      </c>
      <c r="D1027" s="4" t="n">
        <v>30</v>
      </c>
      <c r="E1027" s="4" t="inlineStr">
        <is>
          <t>buen estado</t>
        </is>
      </c>
      <c r="F1027" s="22" t="n">
        <v>81000</v>
      </c>
      <c r="G1027" s="23" t="n">
        <v>2700</v>
      </c>
      <c r="H1027" s="22" t="n"/>
      <c r="I1027" s="23" t="n"/>
      <c r="J1027" s="18" t="n"/>
      <c r="K1027" s="24" t="n"/>
      <c r="L1027" s="4" t="n">
        <v>0</v>
      </c>
      <c r="M1027" s="4" t="inlineStr">
        <is>
          <t>sin muestra</t>
        </is>
      </c>
      <c r="N1027" s="4" t="inlineStr">
        <is>
          <t>no valorable</t>
        </is>
      </c>
      <c r="O1027" s="4" t="inlineStr">
        <is>
          <t>segmento con pocas operaciones comparables</t>
        </is>
      </c>
    </row>
    <row r="1028">
      <c r="A1028" s="4" t="inlineStr">
        <is>
          <t>MD-0277</t>
        </is>
      </c>
      <c r="B1028" s="21" t="n">
        <v>46086</v>
      </c>
      <c r="C1028" s="4" t="inlineStr">
        <is>
          <t>Hortaleza</t>
        </is>
      </c>
      <c r="D1028" s="4" t="n">
        <v>146</v>
      </c>
      <c r="E1028" s="4" t="inlineStr">
        <is>
          <t>buen estado</t>
        </is>
      </c>
      <c r="F1028" s="22" t="n">
        <v>859000</v>
      </c>
      <c r="G1028" s="23" t="n">
        <v>5883.56</v>
      </c>
      <c r="H1028" s="22" t="n">
        <v>755533</v>
      </c>
      <c r="I1028" s="23" t="n">
        <v>5174.88</v>
      </c>
      <c r="J1028" s="18" t="n">
        <v>0.1369</v>
      </c>
      <c r="K1028" s="24" t="n">
        <v>15.8</v>
      </c>
      <c r="L1028" s="4" t="n">
        <v>21</v>
      </c>
      <c r="M1028" s="4" t="inlineStr">
        <is>
          <t>alta</t>
        </is>
      </c>
      <c r="N1028" s="4" t="inlineStr">
        <is>
          <t>por encima de comparables</t>
        </is>
      </c>
      <c r="O1028" s="4" t="n"/>
    </row>
    <row r="1029">
      <c r="A1029" s="4" t="inlineStr">
        <is>
          <t>MD-1864</t>
        </is>
      </c>
      <c r="B1029" s="21" t="n">
        <v>46086</v>
      </c>
      <c r="C1029" s="4" t="inlineStr">
        <is>
          <t>Ciudad Lineal</t>
        </is>
      </c>
      <c r="D1029" s="4" t="n">
        <v>78</v>
      </c>
      <c r="E1029" s="4" t="inlineStr">
        <is>
          <t>buen estado</t>
        </is>
      </c>
      <c r="F1029" s="22" t="n">
        <v>315000</v>
      </c>
      <c r="G1029" s="23" t="n">
        <v>4038.46</v>
      </c>
      <c r="H1029" s="22" t="n">
        <v>398183</v>
      </c>
      <c r="I1029" s="23" t="n">
        <v>5104.91</v>
      </c>
      <c r="J1029" s="18" t="n">
        <v>-0.2089</v>
      </c>
      <c r="K1029" s="24" t="n">
        <v>100</v>
      </c>
      <c r="L1029" s="4" t="n">
        <v>19</v>
      </c>
      <c r="M1029" s="4" t="inlineStr">
        <is>
          <t>media</t>
        </is>
      </c>
      <c r="N1029" s="4" t="inlineStr">
        <is>
          <t>por debajo de comparables</t>
        </is>
      </c>
      <c r="O1029" s="4" t="n"/>
    </row>
    <row r="1030">
      <c r="A1030" s="4" t="inlineStr">
        <is>
          <t>MD-0479</t>
        </is>
      </c>
      <c r="B1030" s="21" t="n">
        <v>46087</v>
      </c>
      <c r="C1030" s="4" t="inlineStr">
        <is>
          <t>Centro</t>
        </is>
      </c>
      <c r="D1030" s="4" t="n">
        <v>43</v>
      </c>
      <c r="E1030" s="4" t="inlineStr">
        <is>
          <t>reformado</t>
        </is>
      </c>
      <c r="F1030" s="22" t="n">
        <v>363000</v>
      </c>
      <c r="G1030" s="23" t="n">
        <v>8441.860000000001</v>
      </c>
      <c r="H1030" s="22" t="n">
        <v>299850</v>
      </c>
      <c r="I1030" s="23" t="n">
        <v>6973.26</v>
      </c>
      <c r="J1030" s="18" t="n">
        <v>0.2106</v>
      </c>
      <c r="K1030" s="24" t="n">
        <v>0</v>
      </c>
      <c r="L1030" s="4" t="n">
        <v>16</v>
      </c>
      <c r="M1030" s="4" t="inlineStr">
        <is>
          <t>alta</t>
        </is>
      </c>
      <c r="N1030" s="4" t="inlineStr">
        <is>
          <t>por encima de comparables</t>
        </is>
      </c>
      <c r="O1030" s="4" t="n"/>
    </row>
    <row r="1031">
      <c r="A1031" s="4" t="inlineStr">
        <is>
          <t>MD-1515</t>
        </is>
      </c>
      <c r="B1031" s="21" t="n">
        <v>46087</v>
      </c>
      <c r="C1031" s="4" t="inlineStr">
        <is>
          <t>Chamartin</t>
        </is>
      </c>
      <c r="D1031" s="4" t="n">
        <v>124</v>
      </c>
      <c r="E1031" s="4" t="inlineStr">
        <is>
          <t>buen estado</t>
        </is>
      </c>
      <c r="F1031" s="22" t="n">
        <v>1059000</v>
      </c>
      <c r="G1031" s="23" t="n">
        <v>8540.32</v>
      </c>
      <c r="H1031" s="22" t="n">
        <v>997893</v>
      </c>
      <c r="I1031" s="23" t="n">
        <v>8047.52</v>
      </c>
      <c r="J1031" s="18" t="n">
        <v>0.0612</v>
      </c>
      <c r="K1031" s="24" t="n">
        <v>34.7</v>
      </c>
      <c r="L1031" s="4" t="n">
        <v>15</v>
      </c>
      <c r="M1031" s="4" t="inlineStr">
        <is>
          <t>alta</t>
        </is>
      </c>
      <c r="N1031" s="4" t="inlineStr">
        <is>
          <t>en linea con comparables</t>
        </is>
      </c>
      <c r="O1031" s="4" t="n"/>
    </row>
    <row r="1032">
      <c r="A1032" s="4" t="inlineStr">
        <is>
          <t>MD-0728</t>
        </is>
      </c>
      <c r="B1032" s="21" t="n">
        <v>46087</v>
      </c>
      <c r="C1032" s="4" t="inlineStr">
        <is>
          <t>Vicalvaro</t>
        </is>
      </c>
      <c r="D1032" s="4" t="n">
        <v>178</v>
      </c>
      <c r="E1032" s="4" t="inlineStr">
        <is>
          <t>buen estado</t>
        </is>
      </c>
      <c r="F1032" s="22" t="n">
        <v>710000</v>
      </c>
      <c r="G1032" s="23" t="n">
        <v>3988.76</v>
      </c>
      <c r="H1032" s="22" t="n">
        <v>586590</v>
      </c>
      <c r="I1032" s="23" t="n">
        <v>3295.45</v>
      </c>
      <c r="J1032" s="18" t="n">
        <v>0.2104</v>
      </c>
      <c r="K1032" s="24" t="n">
        <v>0</v>
      </c>
      <c r="L1032" s="4" t="n">
        <v>14</v>
      </c>
      <c r="M1032" s="4" t="inlineStr">
        <is>
          <t>media</t>
        </is>
      </c>
      <c r="N1032" s="4" t="inlineStr">
        <is>
          <t>por encima de comparables</t>
        </is>
      </c>
      <c r="O1032" s="4" t="n"/>
    </row>
    <row r="1033">
      <c r="A1033" s="4" t="inlineStr">
        <is>
          <t>MD-1074</t>
        </is>
      </c>
      <c r="B1033" s="21" t="n">
        <v>46087</v>
      </c>
      <c r="C1033" s="4" t="inlineStr">
        <is>
          <t>Retiro</t>
        </is>
      </c>
      <c r="D1033" s="4" t="n">
        <v>58</v>
      </c>
      <c r="E1033" s="4" t="inlineStr">
        <is>
          <t>a reformar</t>
        </is>
      </c>
      <c r="F1033" s="22" t="n">
        <v>411000</v>
      </c>
      <c r="G1033" s="23" t="n">
        <v>7086.21</v>
      </c>
      <c r="H1033" s="22" t="n">
        <v>340799</v>
      </c>
      <c r="I1033" s="23" t="n">
        <v>5875.84</v>
      </c>
      <c r="J1033" s="18" t="n">
        <v>0.206</v>
      </c>
      <c r="K1033" s="24" t="n">
        <v>0</v>
      </c>
      <c r="L1033" s="4" t="n">
        <v>10</v>
      </c>
      <c r="M1033" s="4" t="inlineStr">
        <is>
          <t>media</t>
        </is>
      </c>
      <c r="N1033" s="4" t="inlineStr">
        <is>
          <t>por encima de comparables</t>
        </is>
      </c>
      <c r="O1033" s="4" t="n"/>
    </row>
    <row r="1034">
      <c r="A1034" s="4" t="inlineStr">
        <is>
          <t>MD-1304</t>
        </is>
      </c>
      <c r="B1034" s="21" t="n">
        <v>46088</v>
      </c>
      <c r="C1034" s="4" t="inlineStr">
        <is>
          <t>Fuencarral-El Pardo</t>
        </is>
      </c>
      <c r="D1034" s="4" t="n">
        <v>136</v>
      </c>
      <c r="E1034" s="4" t="inlineStr">
        <is>
          <t>buen estado</t>
        </is>
      </c>
      <c r="F1034" s="22" t="n">
        <v>891000</v>
      </c>
      <c r="G1034" s="23" t="n">
        <v>6551.47</v>
      </c>
      <c r="H1034" s="22" t="n">
        <v>667417</v>
      </c>
      <c r="I1034" s="23" t="n">
        <v>4907.48</v>
      </c>
      <c r="J1034" s="18" t="n">
        <v>0.335</v>
      </c>
      <c r="K1034" s="24" t="n">
        <v>0</v>
      </c>
      <c r="L1034" s="4" t="n">
        <v>18</v>
      </c>
      <c r="M1034" s="4" t="inlineStr">
        <is>
          <t>alta</t>
        </is>
      </c>
      <c r="N1034" s="4" t="inlineStr">
        <is>
          <t>por encima de comparables</t>
        </is>
      </c>
      <c r="O1034" s="4" t="n"/>
    </row>
    <row r="1035">
      <c r="A1035" s="4" t="inlineStr">
        <is>
          <t>MD-0304</t>
        </is>
      </c>
      <c r="B1035" s="21" t="n">
        <v>46088</v>
      </c>
      <c r="C1035" s="4" t="inlineStr">
        <is>
          <t>Centro</t>
        </is>
      </c>
      <c r="D1035" s="4" t="n">
        <v>185</v>
      </c>
      <c r="E1035" s="4" t="inlineStr">
        <is>
          <t>buen estado</t>
        </is>
      </c>
      <c r="F1035" s="22" t="n">
        <v>1223000</v>
      </c>
      <c r="G1035" s="23" t="n">
        <v>6610.81</v>
      </c>
      <c r="H1035" s="22" t="n"/>
      <c r="I1035" s="23" t="n"/>
      <c r="J1035" s="18" t="n"/>
      <c r="K1035" s="24" t="n"/>
      <c r="L1035" s="4" t="n">
        <v>4</v>
      </c>
      <c r="M1035" s="4" t="inlineStr">
        <is>
          <t>sin muestra</t>
        </is>
      </c>
      <c r="N1035" s="4" t="inlineStr">
        <is>
          <t>no valorable</t>
        </is>
      </c>
      <c r="O1035" s="4" t="inlineStr">
        <is>
          <t>segmento con pocas operaciones comparables</t>
        </is>
      </c>
    </row>
    <row r="1036">
      <c r="A1036" s="4" t="inlineStr">
        <is>
          <t>MD-0476</t>
        </is>
      </c>
      <c r="B1036" s="21" t="n">
        <v>46088</v>
      </c>
      <c r="C1036" s="4" t="inlineStr">
        <is>
          <t>Hortaleza</t>
        </is>
      </c>
      <c r="D1036" s="4" t="n">
        <v>130</v>
      </c>
      <c r="E1036" s="4" t="inlineStr">
        <is>
          <t>buen estado</t>
        </is>
      </c>
      <c r="F1036" s="22" t="n">
        <v>662000</v>
      </c>
      <c r="G1036" s="23" t="n">
        <v>5092.31</v>
      </c>
      <c r="H1036" s="22" t="n">
        <v>608058</v>
      </c>
      <c r="I1036" s="23" t="n">
        <v>4677.37</v>
      </c>
      <c r="J1036" s="18" t="n">
        <v>0.0887</v>
      </c>
      <c r="K1036" s="24" t="n">
        <v>27.8</v>
      </c>
      <c r="L1036" s="4" t="n">
        <v>26</v>
      </c>
      <c r="M1036" s="4" t="inlineStr">
        <is>
          <t>media</t>
        </is>
      </c>
      <c r="N1036" s="4" t="inlineStr">
        <is>
          <t>en linea con comparables</t>
        </is>
      </c>
      <c r="O1036" s="4" t="n"/>
    </row>
    <row r="1037">
      <c r="A1037" s="4" t="inlineStr">
        <is>
          <t>MD-1554</t>
        </is>
      </c>
      <c r="B1037" s="21" t="n">
        <v>46088</v>
      </c>
      <c r="C1037" s="4" t="inlineStr">
        <is>
          <t>San Blas-Canillejas</t>
        </is>
      </c>
      <c r="D1037" s="4" t="n">
        <v>53</v>
      </c>
      <c r="E1037" s="4" t="inlineStr">
        <is>
          <t>reformado</t>
        </is>
      </c>
      <c r="F1037" s="22" t="n">
        <v>192000</v>
      </c>
      <c r="G1037" s="23" t="n">
        <v>3622.64</v>
      </c>
      <c r="H1037" s="22" t="n">
        <v>211256</v>
      </c>
      <c r="I1037" s="23" t="n">
        <v>3985.96</v>
      </c>
      <c r="J1037" s="18" t="n">
        <v>-0.0911</v>
      </c>
      <c r="K1037" s="24" t="n">
        <v>72.8</v>
      </c>
      <c r="L1037" s="4" t="n">
        <v>18</v>
      </c>
      <c r="M1037" s="4" t="inlineStr">
        <is>
          <t>alta</t>
        </is>
      </c>
      <c r="N1037" s="4" t="inlineStr">
        <is>
          <t>en linea con comparables</t>
        </is>
      </c>
      <c r="O1037" s="4" t="n"/>
    </row>
    <row r="1038">
      <c r="A1038" s="4" t="inlineStr">
        <is>
          <t>MD-1415</t>
        </is>
      </c>
      <c r="B1038" s="21" t="n">
        <v>46088</v>
      </c>
      <c r="C1038" s="4" t="inlineStr">
        <is>
          <t>Salamanca</t>
        </is>
      </c>
      <c r="D1038" s="4" t="n">
        <v>30</v>
      </c>
      <c r="E1038" s="4" t="inlineStr">
        <is>
          <t>a reformar</t>
        </is>
      </c>
      <c r="F1038" s="22" t="n">
        <v>202000</v>
      </c>
      <c r="G1038" s="23" t="n">
        <v>6733.33</v>
      </c>
      <c r="H1038" s="22" t="n"/>
      <c r="I1038" s="23" t="n"/>
      <c r="J1038" s="18" t="n"/>
      <c r="K1038" s="24" t="n"/>
      <c r="L1038" s="4" t="n">
        <v>4</v>
      </c>
      <c r="M1038" s="4" t="inlineStr">
        <is>
          <t>sin muestra</t>
        </is>
      </c>
      <c r="N1038" s="4" t="inlineStr">
        <is>
          <t>no valorable</t>
        </is>
      </c>
      <c r="O1038" s="4" t="inlineStr">
        <is>
          <t>segmento con pocas operaciones comparables</t>
        </is>
      </c>
    </row>
    <row r="1039">
      <c r="A1039" s="4" t="inlineStr">
        <is>
          <t>MD-0722</t>
        </is>
      </c>
      <c r="B1039" s="21" t="n">
        <v>46089</v>
      </c>
      <c r="C1039" s="4" t="inlineStr">
        <is>
          <t>Carabanchel</t>
        </is>
      </c>
      <c r="D1039" s="4" t="n">
        <v>48</v>
      </c>
      <c r="E1039" s="4" t="inlineStr">
        <is>
          <t>a reformar</t>
        </is>
      </c>
      <c r="F1039" s="22" t="n">
        <v>137000</v>
      </c>
      <c r="G1039" s="23" t="n">
        <v>2854.17</v>
      </c>
      <c r="H1039" s="22" t="n">
        <v>136608</v>
      </c>
      <c r="I1039" s="23" t="n">
        <v>2845.99</v>
      </c>
      <c r="J1039" s="18" t="n">
        <v>0.0029</v>
      </c>
      <c r="K1039" s="24" t="n">
        <v>49.3</v>
      </c>
      <c r="L1039" s="4" t="n">
        <v>23</v>
      </c>
      <c r="M1039" s="4" t="inlineStr">
        <is>
          <t>alta</t>
        </is>
      </c>
      <c r="N1039" s="4" t="inlineStr">
        <is>
          <t>en linea con comparables</t>
        </is>
      </c>
      <c r="O1039" s="4" t="n"/>
    </row>
    <row r="1040">
      <c r="A1040" s="4" t="inlineStr">
        <is>
          <t>MD-0046</t>
        </is>
      </c>
      <c r="B1040" s="21" t="n">
        <v>46089</v>
      </c>
      <c r="C1040" s="4" t="inlineStr">
        <is>
          <t>Chamberi</t>
        </is>
      </c>
      <c r="D1040" s="4" t="n">
        <v>167</v>
      </c>
      <c r="E1040" s="4" t="inlineStr">
        <is>
          <t>buen estado</t>
        </is>
      </c>
      <c r="F1040" s="22" t="n">
        <v>1723000</v>
      </c>
      <c r="G1040" s="23" t="n">
        <v>10317.37</v>
      </c>
      <c r="H1040" s="22" t="n">
        <v>1256131</v>
      </c>
      <c r="I1040" s="23" t="n">
        <v>7521.74</v>
      </c>
      <c r="J1040" s="18" t="n">
        <v>0.3717</v>
      </c>
      <c r="K1040" s="24" t="n">
        <v>0</v>
      </c>
      <c r="L1040" s="4" t="n">
        <v>7</v>
      </c>
      <c r="M1040" s="4" t="inlineStr">
        <is>
          <t>baja</t>
        </is>
      </c>
      <c r="N1040" s="4" t="inlineStr">
        <is>
          <t>por encima de comparables</t>
        </is>
      </c>
      <c r="O1040" s="4" t="n"/>
    </row>
    <row r="1041">
      <c r="A1041" s="4" t="inlineStr">
        <is>
          <t>MD-0808</t>
        </is>
      </c>
      <c r="B1041" s="21" t="n">
        <v>46089</v>
      </c>
      <c r="C1041" s="4" t="inlineStr">
        <is>
          <t>Moratalaz</t>
        </is>
      </c>
      <c r="D1041" s="4" t="n">
        <v>64</v>
      </c>
      <c r="E1041" s="4" t="inlineStr">
        <is>
          <t>buen estado</t>
        </is>
      </c>
      <c r="F1041" s="22" t="n">
        <v>196000</v>
      </c>
      <c r="G1041" s="23" t="n">
        <v>3062.5</v>
      </c>
      <c r="H1041" s="22" t="n">
        <v>207778</v>
      </c>
      <c r="I1041" s="23" t="n">
        <v>3246.53</v>
      </c>
      <c r="J1041" s="18" t="n">
        <v>-0.0567</v>
      </c>
      <c r="K1041" s="24" t="n">
        <v>64.2</v>
      </c>
      <c r="L1041" s="4" t="n">
        <v>10</v>
      </c>
      <c r="M1041" s="4" t="inlineStr">
        <is>
          <t>media</t>
        </is>
      </c>
      <c r="N1041" s="4" t="inlineStr">
        <is>
          <t>en linea con comparables</t>
        </is>
      </c>
      <c r="O1041" s="4" t="n"/>
    </row>
    <row r="1042">
      <c r="A1042" s="4" t="inlineStr">
        <is>
          <t>MD-1842</t>
        </is>
      </c>
      <c r="B1042" s="21" t="n">
        <v>46089</v>
      </c>
      <c r="C1042" s="4" t="inlineStr">
        <is>
          <t>Carabanchel</t>
        </is>
      </c>
      <c r="D1042" s="4" t="n">
        <v>82</v>
      </c>
      <c r="E1042" s="4" t="inlineStr">
        <is>
          <t>buen estado</t>
        </is>
      </c>
      <c r="F1042" s="22" t="n">
        <v>164000</v>
      </c>
      <c r="G1042" s="23" t="n">
        <v>2000</v>
      </c>
      <c r="H1042" s="22" t="n">
        <v>246891</v>
      </c>
      <c r="I1042" s="23" t="n">
        <v>3010.87</v>
      </c>
      <c r="J1042" s="18" t="n">
        <v>-0.3357</v>
      </c>
      <c r="K1042" s="24" t="n">
        <v>100</v>
      </c>
      <c r="L1042" s="4" t="n">
        <v>22</v>
      </c>
      <c r="M1042" s="4" t="inlineStr">
        <is>
          <t>alta</t>
        </is>
      </c>
      <c r="N1042" s="4" t="inlineStr">
        <is>
          <t>por debajo de comparables</t>
        </is>
      </c>
      <c r="O1042" s="4" t="n"/>
    </row>
    <row r="1043">
      <c r="A1043" s="4" t="inlineStr">
        <is>
          <t>MD-0341</t>
        </is>
      </c>
      <c r="B1043" s="21" t="n">
        <v>46089</v>
      </c>
      <c r="C1043" s="4" t="inlineStr">
        <is>
          <t>Carabanchel</t>
        </is>
      </c>
      <c r="D1043" s="4" t="n">
        <v>76</v>
      </c>
      <c r="E1043" s="4" t="inlineStr">
        <is>
          <t>a reformar</t>
        </is>
      </c>
      <c r="F1043" s="22" t="n">
        <v>221000</v>
      </c>
      <c r="G1043" s="23" t="n">
        <v>2907.89</v>
      </c>
      <c r="H1043" s="22" t="n">
        <v>222939</v>
      </c>
      <c r="I1043" s="23" t="n">
        <v>2933.41</v>
      </c>
      <c r="J1043" s="18" t="n">
        <v>-0.008699999999999999</v>
      </c>
      <c r="K1043" s="24" t="n">
        <v>52.2</v>
      </c>
      <c r="L1043" s="4" t="n">
        <v>26</v>
      </c>
      <c r="M1043" s="4" t="inlineStr">
        <is>
          <t>alta</t>
        </is>
      </c>
      <c r="N1043" s="4" t="inlineStr">
        <is>
          <t>en linea con comparables</t>
        </is>
      </c>
      <c r="O1043" s="4" t="n"/>
    </row>
    <row r="1044">
      <c r="A1044" s="4" t="inlineStr">
        <is>
          <t>MD-1158</t>
        </is>
      </c>
      <c r="B1044" s="21" t="n">
        <v>46089</v>
      </c>
      <c r="C1044" s="4" t="inlineStr">
        <is>
          <t>Villaverde</t>
        </is>
      </c>
      <c r="D1044" s="4" t="n">
        <v>31</v>
      </c>
      <c r="E1044" s="4" t="inlineStr">
        <is>
          <t>a reformar</t>
        </is>
      </c>
      <c r="F1044" s="22" t="n">
        <v>62000</v>
      </c>
      <c r="G1044" s="23" t="n">
        <v>2000</v>
      </c>
      <c r="H1044" s="22" t="n"/>
      <c r="I1044" s="23" t="n"/>
      <c r="J1044" s="18" t="n"/>
      <c r="K1044" s="24" t="n"/>
      <c r="L1044" s="4" t="n">
        <v>0</v>
      </c>
      <c r="M1044" s="4" t="inlineStr">
        <is>
          <t>sin muestra</t>
        </is>
      </c>
      <c r="N1044" s="4" t="inlineStr">
        <is>
          <t>no valorable</t>
        </is>
      </c>
      <c r="O1044" s="4" t="inlineStr">
        <is>
          <t>segmento con pocas operaciones comparables</t>
        </is>
      </c>
    </row>
    <row r="1045">
      <c r="A1045" s="4" t="inlineStr">
        <is>
          <t>MD-1028</t>
        </is>
      </c>
      <c r="B1045" s="21" t="n">
        <v>46089</v>
      </c>
      <c r="C1045" s="4" t="inlineStr">
        <is>
          <t>Fuencarral-El Pardo</t>
        </is>
      </c>
      <c r="D1045" s="4" t="n">
        <v>169</v>
      </c>
      <c r="E1045" s="4" t="inlineStr">
        <is>
          <t>reformado</t>
        </is>
      </c>
      <c r="F1045" s="22" t="n">
        <v>1079000</v>
      </c>
      <c r="G1045" s="23" t="n">
        <v>6384.62</v>
      </c>
      <c r="H1045" s="22" t="n">
        <v>848649</v>
      </c>
      <c r="I1045" s="23" t="n">
        <v>5021.59</v>
      </c>
      <c r="J1045" s="18" t="n">
        <v>0.2714</v>
      </c>
      <c r="K1045" s="24" t="n">
        <v>0</v>
      </c>
      <c r="L1045" s="4" t="n">
        <v>17</v>
      </c>
      <c r="M1045" s="4" t="inlineStr">
        <is>
          <t>media</t>
        </is>
      </c>
      <c r="N1045" s="4" t="inlineStr">
        <is>
          <t>por encima de comparables</t>
        </is>
      </c>
      <c r="O1045" s="4" t="n"/>
    </row>
    <row r="1046">
      <c r="A1046" s="4" t="inlineStr">
        <is>
          <t>MD-1886</t>
        </is>
      </c>
      <c r="B1046" s="21" t="n">
        <v>46090</v>
      </c>
      <c r="C1046" s="4" t="inlineStr">
        <is>
          <t>Ciudad Lineal</t>
        </is>
      </c>
      <c r="D1046" s="4" t="n">
        <v>114</v>
      </c>
      <c r="E1046" s="4" t="inlineStr">
        <is>
          <t>obra nueva</t>
        </is>
      </c>
      <c r="F1046" s="22" t="n">
        <v>572000</v>
      </c>
      <c r="G1046" s="23" t="n">
        <v>5017.54</v>
      </c>
      <c r="H1046" s="22" t="n">
        <v>639258</v>
      </c>
      <c r="I1046" s="23" t="n">
        <v>5607.53</v>
      </c>
      <c r="J1046" s="18" t="n">
        <v>-0.1052</v>
      </c>
      <c r="K1046" s="24" t="n">
        <v>76.3</v>
      </c>
      <c r="L1046" s="4" t="n">
        <v>5</v>
      </c>
      <c r="M1046" s="4" t="inlineStr">
        <is>
          <t>baja</t>
        </is>
      </c>
      <c r="N1046" s="4" t="inlineStr">
        <is>
          <t>por debajo de comparables</t>
        </is>
      </c>
      <c r="O1046" s="4" t="n"/>
    </row>
    <row r="1047">
      <c r="A1047" s="4" t="inlineStr">
        <is>
          <t>MD-0746</t>
        </is>
      </c>
      <c r="B1047" s="21" t="n">
        <v>46090</v>
      </c>
      <c r="C1047" s="4" t="inlineStr">
        <is>
          <t>Chamberi</t>
        </is>
      </c>
      <c r="D1047" s="4" t="n">
        <v>32</v>
      </c>
      <c r="E1047" s="4" t="inlineStr">
        <is>
          <t>buen estado</t>
        </is>
      </c>
      <c r="F1047" s="22" t="n">
        <v>189000</v>
      </c>
      <c r="G1047" s="23" t="n">
        <v>5906.25</v>
      </c>
      <c r="H1047" s="22" t="n"/>
      <c r="I1047" s="23" t="n"/>
      <c r="J1047" s="18" t="n"/>
      <c r="K1047" s="24" t="n"/>
      <c r="L1047" s="4" t="n">
        <v>1</v>
      </c>
      <c r="M1047" s="4" t="inlineStr">
        <is>
          <t>sin muestra</t>
        </is>
      </c>
      <c r="N1047" s="4" t="inlineStr">
        <is>
          <t>no valorable</t>
        </is>
      </c>
      <c r="O1047" s="4" t="inlineStr">
        <is>
          <t>segmento con pocas operaciones comparables</t>
        </is>
      </c>
    </row>
    <row r="1048">
      <c r="A1048" s="4" t="inlineStr">
        <is>
          <t>MD-0175</t>
        </is>
      </c>
      <c r="B1048" s="21" t="n">
        <v>46090</v>
      </c>
      <c r="C1048" s="4" t="inlineStr">
        <is>
          <t>Villaverde</t>
        </is>
      </c>
      <c r="D1048" s="4" t="n">
        <v>65</v>
      </c>
      <c r="E1048" s="4" t="inlineStr">
        <is>
          <t>buen estado</t>
        </is>
      </c>
      <c r="F1048" s="22" t="n">
        <v>143000</v>
      </c>
      <c r="G1048" s="23" t="n">
        <v>2200</v>
      </c>
      <c r="H1048" s="22" t="n">
        <v>147988</v>
      </c>
      <c r="I1048" s="23" t="n">
        <v>2276.74</v>
      </c>
      <c r="J1048" s="18" t="n">
        <v>-0.0337</v>
      </c>
      <c r="K1048" s="24" t="n">
        <v>58.4</v>
      </c>
      <c r="L1048" s="4" t="n">
        <v>6</v>
      </c>
      <c r="M1048" s="4" t="inlineStr">
        <is>
          <t>baja</t>
        </is>
      </c>
      <c r="N1048" s="4" t="inlineStr">
        <is>
          <t>en linea con comparables</t>
        </is>
      </c>
      <c r="O1048" s="4" t="n"/>
    </row>
    <row r="1049">
      <c r="A1049" s="4" t="inlineStr">
        <is>
          <t>MD-1965</t>
        </is>
      </c>
      <c r="B1049" s="21" t="n">
        <v>46090</v>
      </c>
      <c r="C1049" s="4" t="inlineStr">
        <is>
          <t>Salamanca</t>
        </is>
      </c>
      <c r="D1049" s="4" t="n">
        <v>68</v>
      </c>
      <c r="E1049" s="4" t="inlineStr">
        <is>
          <t>buen estado</t>
        </is>
      </c>
      <c r="F1049" s="22" t="n">
        <v>573000</v>
      </c>
      <c r="G1049" s="23" t="n">
        <v>8426.469999999999</v>
      </c>
      <c r="H1049" s="22" t="n">
        <v>571177</v>
      </c>
      <c r="I1049" s="23" t="n">
        <v>8399.67</v>
      </c>
      <c r="J1049" s="18" t="n">
        <v>0.0032</v>
      </c>
      <c r="K1049" s="24" t="n">
        <v>49.2</v>
      </c>
      <c r="L1049" s="4" t="n">
        <v>17</v>
      </c>
      <c r="M1049" s="4" t="inlineStr">
        <is>
          <t>alta</t>
        </is>
      </c>
      <c r="N1049" s="4" t="inlineStr">
        <is>
          <t>en linea con comparables</t>
        </is>
      </c>
      <c r="O1049" s="4" t="n"/>
    </row>
    <row r="1050">
      <c r="A1050" s="4" t="inlineStr">
        <is>
          <t>MD-1239</t>
        </is>
      </c>
      <c r="B1050" s="21" t="n">
        <v>46090</v>
      </c>
      <c r="C1050" s="4" t="inlineStr">
        <is>
          <t>Chamberi</t>
        </is>
      </c>
      <c r="D1050" s="4" t="n">
        <v>33</v>
      </c>
      <c r="E1050" s="4" t="inlineStr">
        <is>
          <t>reformado</t>
        </is>
      </c>
      <c r="F1050" s="22" t="n">
        <v>293000</v>
      </c>
      <c r="G1050" s="23" t="n">
        <v>8878.790000000001</v>
      </c>
      <c r="H1050" s="22" t="n"/>
      <c r="I1050" s="23" t="n"/>
      <c r="J1050" s="18" t="n"/>
      <c r="K1050" s="24" t="n"/>
      <c r="L1050" s="4" t="n">
        <v>2</v>
      </c>
      <c r="M1050" s="4" t="inlineStr">
        <is>
          <t>sin muestra</t>
        </is>
      </c>
      <c r="N1050" s="4" t="inlineStr">
        <is>
          <t>no valorable</t>
        </is>
      </c>
      <c r="O1050" s="4" t="inlineStr">
        <is>
          <t>segmento con pocas operaciones comparables</t>
        </is>
      </c>
    </row>
    <row r="1051">
      <c r="A1051" s="4" t="inlineStr">
        <is>
          <t>MD-1134</t>
        </is>
      </c>
      <c r="B1051" s="21" t="n">
        <v>46090</v>
      </c>
      <c r="C1051" s="4" t="inlineStr">
        <is>
          <t>Carabanchel</t>
        </is>
      </c>
      <c r="D1051" s="4" t="n">
        <v>49</v>
      </c>
      <c r="E1051" s="4" t="inlineStr">
        <is>
          <t>buen estado</t>
        </is>
      </c>
      <c r="F1051" s="22" t="n">
        <v>146000</v>
      </c>
      <c r="G1051" s="23" t="n">
        <v>2979.59</v>
      </c>
      <c r="H1051" s="22" t="n">
        <v>162606</v>
      </c>
      <c r="I1051" s="23" t="n">
        <v>3318.49</v>
      </c>
      <c r="J1051" s="18" t="n">
        <v>-0.1021</v>
      </c>
      <c r="K1051" s="24" t="n">
        <v>75.5</v>
      </c>
      <c r="L1051" s="4" t="n">
        <v>24</v>
      </c>
      <c r="M1051" s="4" t="inlineStr">
        <is>
          <t>alta</t>
        </is>
      </c>
      <c r="N1051" s="4" t="inlineStr">
        <is>
          <t>por debajo de comparables</t>
        </is>
      </c>
      <c r="O1051" s="4" t="n"/>
    </row>
    <row r="1052">
      <c r="A1052" s="4" t="inlineStr">
        <is>
          <t>MD-1856</t>
        </is>
      </c>
      <c r="B1052" s="21" t="n">
        <v>46091</v>
      </c>
      <c r="C1052" s="4" t="inlineStr">
        <is>
          <t>Fuencarral-El Pardo</t>
        </is>
      </c>
      <c r="D1052" s="4" t="n">
        <v>46</v>
      </c>
      <c r="E1052" s="4" t="inlineStr">
        <is>
          <t>buen estado</t>
        </is>
      </c>
      <c r="F1052" s="22" t="n">
        <v>231000</v>
      </c>
      <c r="G1052" s="23" t="n">
        <v>5021.74</v>
      </c>
      <c r="H1052" s="22" t="n">
        <v>263171</v>
      </c>
      <c r="I1052" s="23" t="n">
        <v>5721.11</v>
      </c>
      <c r="J1052" s="18" t="n">
        <v>-0.1222</v>
      </c>
      <c r="K1052" s="24" t="n">
        <v>80.59999999999999</v>
      </c>
      <c r="L1052" s="4" t="n">
        <v>12</v>
      </c>
      <c r="M1052" s="4" t="inlineStr">
        <is>
          <t>media</t>
        </is>
      </c>
      <c r="N1052" s="4" t="inlineStr">
        <is>
          <t>por debajo de comparables</t>
        </is>
      </c>
      <c r="O1052" s="4" t="n"/>
    </row>
    <row r="1053">
      <c r="A1053" s="4" t="inlineStr">
        <is>
          <t>MD-1453</t>
        </is>
      </c>
      <c r="B1053" s="21" t="n">
        <v>46091</v>
      </c>
      <c r="C1053" s="4" t="inlineStr">
        <is>
          <t>Carabanchel</t>
        </is>
      </c>
      <c r="D1053" s="4" t="n">
        <v>167</v>
      </c>
      <c r="E1053" s="4" t="inlineStr">
        <is>
          <t>reformado</t>
        </is>
      </c>
      <c r="F1053" s="22" t="n">
        <v>583000</v>
      </c>
      <c r="G1053" s="23" t="n">
        <v>3491.02</v>
      </c>
      <c r="H1053" s="22" t="n">
        <v>660114</v>
      </c>
      <c r="I1053" s="23" t="n">
        <v>3952.78</v>
      </c>
      <c r="J1053" s="18" t="n">
        <v>-0.1168</v>
      </c>
      <c r="K1053" s="24" t="n">
        <v>79.2</v>
      </c>
      <c r="L1053" s="4" t="n">
        <v>7</v>
      </c>
      <c r="M1053" s="4" t="inlineStr">
        <is>
          <t>baja</t>
        </is>
      </c>
      <c r="N1053" s="4" t="inlineStr">
        <is>
          <t>por debajo de comparables</t>
        </is>
      </c>
      <c r="O1053" s="4" t="n"/>
    </row>
    <row r="1054">
      <c r="A1054" s="4" t="inlineStr">
        <is>
          <t>MD-1294</t>
        </is>
      </c>
      <c r="B1054" s="21" t="n">
        <v>46091</v>
      </c>
      <c r="C1054" s="4" t="inlineStr">
        <is>
          <t>San Blas-Canillejas</t>
        </is>
      </c>
      <c r="D1054" s="4" t="n">
        <v>131</v>
      </c>
      <c r="E1054" s="4" t="inlineStr">
        <is>
          <t>reformado</t>
        </is>
      </c>
      <c r="F1054" s="22" t="n">
        <v>790000</v>
      </c>
      <c r="G1054" s="23" t="n">
        <v>6030.53</v>
      </c>
      <c r="H1054" s="22" t="n">
        <v>542937</v>
      </c>
      <c r="I1054" s="23" t="n">
        <v>4144.56</v>
      </c>
      <c r="J1054" s="18" t="n">
        <v>0.455</v>
      </c>
      <c r="K1054" s="24" t="n">
        <v>0</v>
      </c>
      <c r="L1054" s="4" t="n">
        <v>15</v>
      </c>
      <c r="M1054" s="4" t="inlineStr">
        <is>
          <t>alta</t>
        </is>
      </c>
      <c r="N1054" s="4" t="inlineStr">
        <is>
          <t>por encima de comparables</t>
        </is>
      </c>
      <c r="O1054" s="4" t="n"/>
    </row>
    <row r="1055">
      <c r="A1055" s="4" t="inlineStr">
        <is>
          <t>MD-0095</t>
        </is>
      </c>
      <c r="B1055" s="21" t="n">
        <v>46091</v>
      </c>
      <c r="C1055" s="4" t="inlineStr">
        <is>
          <t>Puente de Vallecas</t>
        </is>
      </c>
      <c r="D1055" s="4" t="n">
        <v>38</v>
      </c>
      <c r="E1055" s="4" t="inlineStr">
        <is>
          <t>buen estado</t>
        </is>
      </c>
      <c r="F1055" s="22" t="n">
        <v>89000</v>
      </c>
      <c r="G1055" s="23" t="n">
        <v>2342.11</v>
      </c>
      <c r="H1055" s="22" t="n">
        <v>106400</v>
      </c>
      <c r="I1055" s="23" t="n">
        <v>2800</v>
      </c>
      <c r="J1055" s="18" t="n">
        <v>-0.1635</v>
      </c>
      <c r="K1055" s="24" t="n">
        <v>90.90000000000001</v>
      </c>
      <c r="L1055" s="4" t="n">
        <v>19</v>
      </c>
      <c r="M1055" s="4" t="inlineStr">
        <is>
          <t>alta</t>
        </is>
      </c>
      <c r="N1055" s="4" t="inlineStr">
        <is>
          <t>por debajo de comparables</t>
        </is>
      </c>
      <c r="O1055" s="4" t="n"/>
    </row>
    <row r="1056">
      <c r="A1056" s="4" t="inlineStr">
        <is>
          <t>MD-1308</t>
        </is>
      </c>
      <c r="B1056" s="21" t="n">
        <v>46091</v>
      </c>
      <c r="C1056" s="4" t="inlineStr">
        <is>
          <t>Vicalvaro</t>
        </is>
      </c>
      <c r="D1056" s="4" t="n">
        <v>80</v>
      </c>
      <c r="E1056" s="4" t="inlineStr">
        <is>
          <t>buen estado</t>
        </is>
      </c>
      <c r="F1056" s="22" t="n">
        <v>305000</v>
      </c>
      <c r="G1056" s="23" t="n">
        <v>3812.5</v>
      </c>
      <c r="H1056" s="22" t="n">
        <v>281154</v>
      </c>
      <c r="I1056" s="23" t="n">
        <v>3514.43</v>
      </c>
      <c r="J1056" s="18" t="n">
        <v>0.0848</v>
      </c>
      <c r="K1056" s="24" t="n">
        <v>28.8</v>
      </c>
      <c r="L1056" s="4" t="n">
        <v>19</v>
      </c>
      <c r="M1056" s="4" t="inlineStr">
        <is>
          <t>media</t>
        </is>
      </c>
      <c r="N1056" s="4" t="inlineStr">
        <is>
          <t>en linea con comparables</t>
        </is>
      </c>
      <c r="O1056" s="4" t="n"/>
    </row>
    <row r="1057">
      <c r="A1057" s="4" t="inlineStr">
        <is>
          <t>MD-1432</t>
        </is>
      </c>
      <c r="B1057" s="21" t="n">
        <v>46092</v>
      </c>
      <c r="C1057" s="4" t="inlineStr">
        <is>
          <t>Salamanca</t>
        </is>
      </c>
      <c r="D1057" s="4" t="n">
        <v>163</v>
      </c>
      <c r="E1057" s="4" t="inlineStr">
        <is>
          <t>buen estado</t>
        </is>
      </c>
      <c r="F1057" s="22" t="n">
        <v>1448000</v>
      </c>
      <c r="G1057" s="23" t="n">
        <v>8883.440000000001</v>
      </c>
      <c r="H1057" s="22" t="n">
        <v>1352988</v>
      </c>
      <c r="I1057" s="23" t="n">
        <v>8300.540000000001</v>
      </c>
      <c r="J1057" s="18" t="n">
        <v>0.0702</v>
      </c>
      <c r="K1057" s="24" t="n">
        <v>32.4</v>
      </c>
      <c r="L1057" s="4" t="n">
        <v>12</v>
      </c>
      <c r="M1057" s="4" t="inlineStr">
        <is>
          <t>media</t>
        </is>
      </c>
      <c r="N1057" s="4" t="inlineStr">
        <is>
          <t>en linea con comparables</t>
        </is>
      </c>
      <c r="O1057" s="4" t="n"/>
    </row>
    <row r="1058">
      <c r="A1058" s="4" t="inlineStr">
        <is>
          <t>MD-0006</t>
        </is>
      </c>
      <c r="B1058" s="21" t="n">
        <v>46092</v>
      </c>
      <c r="C1058" s="4" t="inlineStr">
        <is>
          <t>Centro</t>
        </is>
      </c>
      <c r="D1058" s="4" t="n">
        <v>40</v>
      </c>
      <c r="E1058" s="4" t="inlineStr">
        <is>
          <t>a reformar</t>
        </is>
      </c>
      <c r="F1058" s="22" t="n">
        <v>236000</v>
      </c>
      <c r="G1058" s="23" t="n">
        <v>5900</v>
      </c>
      <c r="H1058" s="22" t="n">
        <v>258020</v>
      </c>
      <c r="I1058" s="23" t="n">
        <v>6450.5</v>
      </c>
      <c r="J1058" s="18" t="n">
        <v>-0.0853</v>
      </c>
      <c r="K1058" s="24" t="n">
        <v>71.3</v>
      </c>
      <c r="L1058" s="4" t="n">
        <v>19</v>
      </c>
      <c r="M1058" s="4" t="inlineStr">
        <is>
          <t>media</t>
        </is>
      </c>
      <c r="N1058" s="4" t="inlineStr">
        <is>
          <t>en linea con comparables</t>
        </is>
      </c>
      <c r="O1058" s="4" t="n"/>
    </row>
    <row r="1059">
      <c r="A1059" s="4" t="inlineStr">
        <is>
          <t>MD-1012</t>
        </is>
      </c>
      <c r="B1059" s="21" t="n">
        <v>46092</v>
      </c>
      <c r="C1059" s="4" t="inlineStr">
        <is>
          <t>Carabanchel</t>
        </is>
      </c>
      <c r="D1059" s="4" t="n">
        <v>68</v>
      </c>
      <c r="E1059" s="4" t="inlineStr">
        <is>
          <t>buen estado</t>
        </is>
      </c>
      <c r="F1059" s="22" t="n">
        <v>189000</v>
      </c>
      <c r="G1059" s="23" t="n">
        <v>2779.41</v>
      </c>
      <c r="H1059" s="22" t="n">
        <v>230282</v>
      </c>
      <c r="I1059" s="23" t="n">
        <v>3386.5</v>
      </c>
      <c r="J1059" s="18" t="n">
        <v>-0.1793</v>
      </c>
      <c r="K1059" s="24" t="n">
        <v>94.8</v>
      </c>
      <c r="L1059" s="4" t="n">
        <v>30</v>
      </c>
      <c r="M1059" s="4" t="inlineStr">
        <is>
          <t>alta</t>
        </is>
      </c>
      <c r="N1059" s="4" t="inlineStr">
        <is>
          <t>por debajo de comparables</t>
        </is>
      </c>
      <c r="O1059" s="4" t="n"/>
    </row>
    <row r="1060">
      <c r="A1060" s="4" t="inlineStr">
        <is>
          <t>MD-1033</t>
        </is>
      </c>
      <c r="B1060" s="21" t="n">
        <v>46093</v>
      </c>
      <c r="C1060" s="4" t="inlineStr">
        <is>
          <t>Villa de Vallecas</t>
        </is>
      </c>
      <c r="D1060" s="4" t="n">
        <v>93</v>
      </c>
      <c r="E1060" s="4" t="inlineStr">
        <is>
          <t>buen estado</t>
        </is>
      </c>
      <c r="F1060" s="22" t="n">
        <v>310000</v>
      </c>
      <c r="G1060" s="23" t="n">
        <v>3333.33</v>
      </c>
      <c r="H1060" s="22" t="n">
        <v>330213</v>
      </c>
      <c r="I1060" s="23" t="n">
        <v>3550.68</v>
      </c>
      <c r="J1060" s="18" t="n">
        <v>-0.0612</v>
      </c>
      <c r="K1060" s="24" t="n">
        <v>65.3</v>
      </c>
      <c r="L1060" s="4" t="n">
        <v>11</v>
      </c>
      <c r="M1060" s="4" t="inlineStr">
        <is>
          <t>media</t>
        </is>
      </c>
      <c r="N1060" s="4" t="inlineStr">
        <is>
          <t>en linea con comparables</t>
        </is>
      </c>
      <c r="O1060" s="4" t="n"/>
    </row>
    <row r="1061">
      <c r="A1061" s="4" t="inlineStr">
        <is>
          <t>MD-0854</t>
        </is>
      </c>
      <c r="B1061" s="21" t="n">
        <v>46093</v>
      </c>
      <c r="C1061" s="4" t="inlineStr">
        <is>
          <t>Fuencarral-El Pardo</t>
        </is>
      </c>
      <c r="D1061" s="4" t="n">
        <v>115</v>
      </c>
      <c r="E1061" s="4" t="inlineStr">
        <is>
          <t>a reformar</t>
        </is>
      </c>
      <c r="F1061" s="22" t="n">
        <v>385000</v>
      </c>
      <c r="G1061" s="23" t="n">
        <v>3347.83</v>
      </c>
      <c r="H1061" s="22" t="n">
        <v>554208</v>
      </c>
      <c r="I1061" s="23" t="n">
        <v>4819.2</v>
      </c>
      <c r="J1061" s="18" t="n">
        <v>-0.3053</v>
      </c>
      <c r="K1061" s="24" t="n">
        <v>100</v>
      </c>
      <c r="L1061" s="4" t="n">
        <v>20</v>
      </c>
      <c r="M1061" s="4" t="inlineStr">
        <is>
          <t>alta</t>
        </is>
      </c>
      <c r="N1061" s="4" t="inlineStr">
        <is>
          <t>por debajo de comparables</t>
        </is>
      </c>
      <c r="O1061" s="4" t="n"/>
    </row>
    <row r="1062">
      <c r="A1062" s="4" t="inlineStr">
        <is>
          <t>MD-0965</t>
        </is>
      </c>
      <c r="B1062" s="21" t="n">
        <v>46093</v>
      </c>
      <c r="C1062" s="4" t="inlineStr">
        <is>
          <t>Fuencarral-El Pardo</t>
        </is>
      </c>
      <c r="D1062" s="4" t="n">
        <v>125</v>
      </c>
      <c r="E1062" s="4" t="inlineStr">
        <is>
          <t>a reformar</t>
        </is>
      </c>
      <c r="F1062" s="22" t="n">
        <v>595000</v>
      </c>
      <c r="G1062" s="23" t="n">
        <v>4760</v>
      </c>
      <c r="H1062" s="22" t="n">
        <v>543954</v>
      </c>
      <c r="I1062" s="23" t="n">
        <v>4351.63</v>
      </c>
      <c r="J1062" s="18" t="n">
        <v>0.09379999999999999</v>
      </c>
      <c r="K1062" s="24" t="n">
        <v>26.5</v>
      </c>
      <c r="L1062" s="4" t="n">
        <v>19</v>
      </c>
      <c r="M1062" s="4" t="inlineStr">
        <is>
          <t>alta</t>
        </is>
      </c>
      <c r="N1062" s="4" t="inlineStr">
        <is>
          <t>en linea con comparables</t>
        </is>
      </c>
      <c r="O1062" s="4" t="n"/>
    </row>
    <row r="1063">
      <c r="A1063" s="4" t="inlineStr">
        <is>
          <t>MD-1660</t>
        </is>
      </c>
      <c r="B1063" s="21" t="n">
        <v>46093</v>
      </c>
      <c r="C1063" s="4" t="inlineStr">
        <is>
          <t>Carabanchel</t>
        </is>
      </c>
      <c r="D1063" s="4" t="n">
        <v>54</v>
      </c>
      <c r="E1063" s="4" t="inlineStr">
        <is>
          <t>buen estado</t>
        </is>
      </c>
      <c r="F1063" s="22" t="n">
        <v>192000</v>
      </c>
      <c r="G1063" s="23" t="n">
        <v>3555.56</v>
      </c>
      <c r="H1063" s="22" t="n">
        <v>160203</v>
      </c>
      <c r="I1063" s="23" t="n">
        <v>2966.73</v>
      </c>
      <c r="J1063" s="18" t="n">
        <v>0.1985</v>
      </c>
      <c r="K1063" s="24" t="n">
        <v>0.4</v>
      </c>
      <c r="L1063" s="4" t="n">
        <v>30</v>
      </c>
      <c r="M1063" s="4" t="inlineStr">
        <is>
          <t>alta</t>
        </is>
      </c>
      <c r="N1063" s="4" t="inlineStr">
        <is>
          <t>por encima de comparables</t>
        </is>
      </c>
      <c r="O1063" s="4" t="n"/>
    </row>
    <row r="1064">
      <c r="A1064" s="4" t="inlineStr">
        <is>
          <t>MD-0626</t>
        </is>
      </c>
      <c r="B1064" s="21" t="n">
        <v>46093</v>
      </c>
      <c r="C1064" s="4" t="inlineStr">
        <is>
          <t>Moncloa-Aravaca</t>
        </is>
      </c>
      <c r="D1064" s="4" t="n">
        <v>50</v>
      </c>
      <c r="E1064" s="4" t="inlineStr">
        <is>
          <t>reformado</t>
        </is>
      </c>
      <c r="F1064" s="22" t="n">
        <v>330000</v>
      </c>
      <c r="G1064" s="23" t="n">
        <v>6600</v>
      </c>
      <c r="H1064" s="22" t="n"/>
      <c r="I1064" s="23" t="n"/>
      <c r="J1064" s="18" t="n"/>
      <c r="K1064" s="24" t="n"/>
      <c r="L1064" s="4" t="n">
        <v>1</v>
      </c>
      <c r="M1064" s="4" t="inlineStr">
        <is>
          <t>sin muestra</t>
        </is>
      </c>
      <c r="N1064" s="4" t="inlineStr">
        <is>
          <t>no valorable</t>
        </is>
      </c>
      <c r="O1064" s="4" t="inlineStr">
        <is>
          <t>segmento con pocas operaciones comparables</t>
        </is>
      </c>
    </row>
    <row r="1065">
      <c r="A1065" s="4" t="inlineStr">
        <is>
          <t>MD-1126</t>
        </is>
      </c>
      <c r="B1065" s="21" t="n">
        <v>46094</v>
      </c>
      <c r="C1065" s="4" t="inlineStr">
        <is>
          <t>Carabanchel</t>
        </is>
      </c>
      <c r="D1065" s="4" t="n">
        <v>89</v>
      </c>
      <c r="E1065" s="4" t="inlineStr">
        <is>
          <t>buen estado</t>
        </is>
      </c>
      <c r="F1065" s="22" t="n">
        <v>209000</v>
      </c>
      <c r="G1065" s="23" t="n">
        <v>2348.31</v>
      </c>
      <c r="H1065" s="22" t="n">
        <v>268882</v>
      </c>
      <c r="I1065" s="23" t="n">
        <v>3021.14</v>
      </c>
      <c r="J1065" s="18" t="n">
        <v>-0.2227</v>
      </c>
      <c r="K1065" s="24" t="n">
        <v>100</v>
      </c>
      <c r="L1065" s="4" t="n">
        <v>21</v>
      </c>
      <c r="M1065" s="4" t="inlineStr">
        <is>
          <t>alta</t>
        </is>
      </c>
      <c r="N1065" s="4" t="inlineStr">
        <is>
          <t>por debajo de comparables</t>
        </is>
      </c>
      <c r="O1065" s="4" t="n"/>
    </row>
    <row r="1066">
      <c r="A1066" s="4" t="inlineStr">
        <is>
          <t>MD-0440</t>
        </is>
      </c>
      <c r="B1066" s="21" t="n">
        <v>46094</v>
      </c>
      <c r="C1066" s="4" t="inlineStr">
        <is>
          <t>San Blas-Canillejas</t>
        </is>
      </c>
      <c r="D1066" s="4" t="n">
        <v>55</v>
      </c>
      <c r="E1066" s="4" t="inlineStr">
        <is>
          <t>buen estado</t>
        </is>
      </c>
      <c r="F1066" s="22" t="n">
        <v>198000</v>
      </c>
      <c r="G1066" s="23" t="n">
        <v>3600</v>
      </c>
      <c r="H1066" s="22" t="n">
        <v>199846</v>
      </c>
      <c r="I1066" s="23" t="n">
        <v>3633.57</v>
      </c>
      <c r="J1066" s="18" t="n">
        <v>-0.0092</v>
      </c>
      <c r="K1066" s="24" t="n">
        <v>52.3</v>
      </c>
      <c r="L1066" s="4" t="n">
        <v>18</v>
      </c>
      <c r="M1066" s="4" t="inlineStr">
        <is>
          <t>alta</t>
        </is>
      </c>
      <c r="N1066" s="4" t="inlineStr">
        <is>
          <t>en linea con comparables</t>
        </is>
      </c>
      <c r="O1066" s="4" t="n"/>
    </row>
    <row r="1067">
      <c r="A1067" s="4" t="inlineStr">
        <is>
          <t>MD-1916</t>
        </is>
      </c>
      <c r="B1067" s="21" t="n">
        <v>46094</v>
      </c>
      <c r="C1067" s="4" t="inlineStr">
        <is>
          <t>Chamberi</t>
        </is>
      </c>
      <c r="D1067" s="4" t="n">
        <v>31</v>
      </c>
      <c r="E1067" s="4" t="inlineStr">
        <is>
          <t>reformado</t>
        </is>
      </c>
      <c r="F1067" s="22" t="n">
        <v>315000</v>
      </c>
      <c r="G1067" s="23" t="n">
        <v>10161.29</v>
      </c>
      <c r="H1067" s="22" t="n"/>
      <c r="I1067" s="23" t="n"/>
      <c r="J1067" s="18" t="n"/>
      <c r="K1067" s="24" t="n"/>
      <c r="L1067" s="4" t="n">
        <v>3</v>
      </c>
      <c r="M1067" s="4" t="inlineStr">
        <is>
          <t>sin muestra</t>
        </is>
      </c>
      <c r="N1067" s="4" t="inlineStr">
        <is>
          <t>no valorable</t>
        </is>
      </c>
      <c r="O1067" s="4" t="inlineStr">
        <is>
          <t>segmento con pocas operaciones comparables</t>
        </is>
      </c>
    </row>
    <row r="1068">
      <c r="A1068" s="4" t="inlineStr">
        <is>
          <t>MD-0308</t>
        </is>
      </c>
      <c r="B1068" s="21" t="n">
        <v>46094</v>
      </c>
      <c r="C1068" s="4" t="inlineStr">
        <is>
          <t>Chamberi</t>
        </is>
      </c>
      <c r="D1068" s="4" t="n">
        <v>39</v>
      </c>
      <c r="E1068" s="4" t="inlineStr">
        <is>
          <t>a reformar</t>
        </is>
      </c>
      <c r="F1068" s="22" t="n">
        <v>262000</v>
      </c>
      <c r="G1068" s="23" t="n">
        <v>6717.95</v>
      </c>
      <c r="H1068" s="22" t="n">
        <v>263903</v>
      </c>
      <c r="I1068" s="23" t="n">
        <v>6766.73</v>
      </c>
      <c r="J1068" s="18" t="n">
        <v>-0.0072</v>
      </c>
      <c r="K1068" s="24" t="n">
        <v>51.8</v>
      </c>
      <c r="L1068" s="4" t="n">
        <v>6</v>
      </c>
      <c r="M1068" s="4" t="inlineStr">
        <is>
          <t>baja</t>
        </is>
      </c>
      <c r="N1068" s="4" t="inlineStr">
        <is>
          <t>en linea con comparables</t>
        </is>
      </c>
      <c r="O1068" s="4" t="n"/>
    </row>
    <row r="1069">
      <c r="A1069" s="4" t="inlineStr">
        <is>
          <t>MD-0490</t>
        </is>
      </c>
      <c r="B1069" s="21" t="n">
        <v>46094</v>
      </c>
      <c r="C1069" s="4" t="inlineStr">
        <is>
          <t>Latina</t>
        </is>
      </c>
      <c r="D1069" s="4" t="n">
        <v>50</v>
      </c>
      <c r="E1069" s="4" t="inlineStr">
        <is>
          <t>reformado</t>
        </is>
      </c>
      <c r="F1069" s="22" t="n">
        <v>235000</v>
      </c>
      <c r="G1069" s="23" t="n">
        <v>4700</v>
      </c>
      <c r="H1069" s="22" t="n">
        <v>166666</v>
      </c>
      <c r="I1069" s="23" t="n">
        <v>3333.33</v>
      </c>
      <c r="J1069" s="18" t="n">
        <v>0.41</v>
      </c>
      <c r="K1069" s="24" t="n">
        <v>0</v>
      </c>
      <c r="L1069" s="4" t="n">
        <v>25</v>
      </c>
      <c r="M1069" s="4" t="inlineStr">
        <is>
          <t>media</t>
        </is>
      </c>
      <c r="N1069" s="4" t="inlineStr">
        <is>
          <t>por encima de comparables</t>
        </is>
      </c>
      <c r="O1069" s="4" t="n"/>
    </row>
    <row r="1070">
      <c r="A1070" s="4" t="inlineStr">
        <is>
          <t>MD-0781</t>
        </is>
      </c>
      <c r="B1070" s="21" t="n">
        <v>46094</v>
      </c>
      <c r="C1070" s="4" t="inlineStr">
        <is>
          <t>Ciudad Lineal</t>
        </is>
      </c>
      <c r="D1070" s="4" t="n">
        <v>80</v>
      </c>
      <c r="E1070" s="4" t="inlineStr">
        <is>
          <t>buen estado</t>
        </is>
      </c>
      <c r="F1070" s="22" t="n">
        <v>510000</v>
      </c>
      <c r="G1070" s="23" t="n">
        <v>6375</v>
      </c>
      <c r="H1070" s="22" t="n">
        <v>408393</v>
      </c>
      <c r="I1070" s="23" t="n">
        <v>5104.91</v>
      </c>
      <c r="J1070" s="18" t="n">
        <v>0.2488</v>
      </c>
      <c r="K1070" s="24" t="n">
        <v>0</v>
      </c>
      <c r="L1070" s="4" t="n">
        <v>21</v>
      </c>
      <c r="M1070" s="4" t="inlineStr">
        <is>
          <t>media</t>
        </is>
      </c>
      <c r="N1070" s="4" t="inlineStr">
        <is>
          <t>por encima de comparables</t>
        </is>
      </c>
      <c r="O1070" s="4" t="n"/>
    </row>
    <row r="1071">
      <c r="A1071" s="4" t="inlineStr">
        <is>
          <t>MD-1440</t>
        </is>
      </c>
      <c r="B1071" s="21" t="n">
        <v>46095</v>
      </c>
      <c r="C1071" s="4" t="inlineStr">
        <is>
          <t>Salamanca</t>
        </is>
      </c>
      <c r="D1071" s="4" t="n">
        <v>53</v>
      </c>
      <c r="E1071" s="4" t="inlineStr">
        <is>
          <t>reformado</t>
        </is>
      </c>
      <c r="F1071" s="22" t="n">
        <v>566000</v>
      </c>
      <c r="G1071" s="23" t="n">
        <v>10679.25</v>
      </c>
      <c r="H1071" s="22" t="n">
        <v>481220</v>
      </c>
      <c r="I1071" s="23" t="n">
        <v>9079.629999999999</v>
      </c>
      <c r="J1071" s="18" t="n">
        <v>0.1762</v>
      </c>
      <c r="K1071" s="24" t="n">
        <v>6</v>
      </c>
      <c r="L1071" s="4" t="n">
        <v>14</v>
      </c>
      <c r="M1071" s="4" t="inlineStr">
        <is>
          <t>media</t>
        </is>
      </c>
      <c r="N1071" s="4" t="inlineStr">
        <is>
          <t>por encima de comparables</t>
        </is>
      </c>
      <c r="O1071" s="4" t="n"/>
    </row>
    <row r="1072">
      <c r="A1072" s="4" t="inlineStr">
        <is>
          <t>MD-0311</t>
        </is>
      </c>
      <c r="B1072" s="21" t="n">
        <v>46095</v>
      </c>
      <c r="C1072" s="4" t="inlineStr">
        <is>
          <t>Hortaleza</t>
        </is>
      </c>
      <c r="D1072" s="4" t="n">
        <v>76</v>
      </c>
      <c r="E1072" s="4" t="inlineStr">
        <is>
          <t>buen estado</t>
        </is>
      </c>
      <c r="F1072" s="22" t="n">
        <v>290000</v>
      </c>
      <c r="G1072" s="23" t="n">
        <v>3815.79</v>
      </c>
      <c r="H1072" s="22" t="n">
        <v>399218</v>
      </c>
      <c r="I1072" s="23" t="n">
        <v>5252.87</v>
      </c>
      <c r="J1072" s="18" t="n">
        <v>-0.2736</v>
      </c>
      <c r="K1072" s="24" t="n">
        <v>100</v>
      </c>
      <c r="L1072" s="4" t="n">
        <v>19</v>
      </c>
      <c r="M1072" s="4" t="inlineStr">
        <is>
          <t>media</t>
        </is>
      </c>
      <c r="N1072" s="4" t="inlineStr">
        <is>
          <t>por debajo de comparables</t>
        </is>
      </c>
      <c r="O1072" s="4" t="n"/>
    </row>
    <row r="1073">
      <c r="A1073" s="4" t="inlineStr">
        <is>
          <t>MD-0004</t>
        </is>
      </c>
      <c r="B1073" s="21" t="n">
        <v>46095</v>
      </c>
      <c r="C1073" s="4" t="inlineStr">
        <is>
          <t>Villa de Vallecas</t>
        </is>
      </c>
      <c r="D1073" s="4" t="n">
        <v>74</v>
      </c>
      <c r="E1073" s="4" t="inlineStr">
        <is>
          <t>reformado</t>
        </is>
      </c>
      <c r="F1073" s="22" t="n">
        <v>379000</v>
      </c>
      <c r="G1073" s="23" t="n">
        <v>5121.62</v>
      </c>
      <c r="H1073" s="22" t="n">
        <v>262453</v>
      </c>
      <c r="I1073" s="23" t="n">
        <v>3546.66</v>
      </c>
      <c r="J1073" s="18" t="n">
        <v>0.4441</v>
      </c>
      <c r="K1073" s="24" t="n">
        <v>0</v>
      </c>
      <c r="L1073" s="4" t="n">
        <v>10</v>
      </c>
      <c r="M1073" s="4" t="inlineStr">
        <is>
          <t>media</t>
        </is>
      </c>
      <c r="N1073" s="4" t="inlineStr">
        <is>
          <t>por encima de comparables</t>
        </is>
      </c>
      <c r="O1073" s="4" t="n"/>
    </row>
    <row r="1074">
      <c r="A1074" s="4" t="inlineStr">
        <is>
          <t>MD-0100</t>
        </is>
      </c>
      <c r="B1074" s="21" t="n">
        <v>46095</v>
      </c>
      <c r="C1074" s="4" t="inlineStr">
        <is>
          <t>Ciudad Lineal</t>
        </is>
      </c>
      <c r="D1074" s="4" t="n">
        <v>55</v>
      </c>
      <c r="E1074" s="4" t="inlineStr">
        <is>
          <t>a reformar</t>
        </is>
      </c>
      <c r="F1074" s="22" t="n">
        <v>214000</v>
      </c>
      <c r="G1074" s="23" t="n">
        <v>3890.91</v>
      </c>
      <c r="H1074" s="22" t="n">
        <v>239479</v>
      </c>
      <c r="I1074" s="23" t="n">
        <v>4354.17</v>
      </c>
      <c r="J1074" s="18" t="n">
        <v>-0.1064</v>
      </c>
      <c r="K1074" s="24" t="n">
        <v>76.59999999999999</v>
      </c>
      <c r="L1074" s="4" t="n">
        <v>25</v>
      </c>
      <c r="M1074" s="4" t="inlineStr">
        <is>
          <t>media</t>
        </is>
      </c>
      <c r="N1074" s="4" t="inlineStr">
        <is>
          <t>por debajo de comparables</t>
        </is>
      </c>
      <c r="O1074" s="4" t="n"/>
    </row>
    <row r="1075">
      <c r="A1075" s="4" t="inlineStr">
        <is>
          <t>MD-1929</t>
        </is>
      </c>
      <c r="B1075" s="21" t="n">
        <v>46095</v>
      </c>
      <c r="C1075" s="4" t="inlineStr">
        <is>
          <t>Carabanchel</t>
        </is>
      </c>
      <c r="D1075" s="4" t="n">
        <v>75</v>
      </c>
      <c r="E1075" s="4" t="inlineStr">
        <is>
          <t>a reformar</t>
        </is>
      </c>
      <c r="F1075" s="22" t="n">
        <v>173000</v>
      </c>
      <c r="G1075" s="23" t="n">
        <v>2306.67</v>
      </c>
      <c r="H1075" s="22" t="n">
        <v>189332</v>
      </c>
      <c r="I1075" s="23" t="n">
        <v>2524.42</v>
      </c>
      <c r="J1075" s="18" t="n">
        <v>-0.0863</v>
      </c>
      <c r="K1075" s="24" t="n">
        <v>71.59999999999999</v>
      </c>
      <c r="L1075" s="4" t="n">
        <v>30</v>
      </c>
      <c r="M1075" s="4" t="inlineStr">
        <is>
          <t>media</t>
        </is>
      </c>
      <c r="N1075" s="4" t="inlineStr">
        <is>
          <t>en linea con comparables</t>
        </is>
      </c>
      <c r="O1075" s="4" t="n"/>
    </row>
    <row r="1076">
      <c r="A1076" s="4" t="inlineStr">
        <is>
          <t>MD-0195</t>
        </is>
      </c>
      <c r="B1076" s="21" t="n">
        <v>46095</v>
      </c>
      <c r="C1076" s="4" t="inlineStr">
        <is>
          <t>Salamanca</t>
        </is>
      </c>
      <c r="D1076" s="4" t="n">
        <v>32</v>
      </c>
      <c r="E1076" s="4" t="inlineStr">
        <is>
          <t>buen estado</t>
        </is>
      </c>
      <c r="F1076" s="22" t="n">
        <v>249000</v>
      </c>
      <c r="G1076" s="23" t="n">
        <v>7781.25</v>
      </c>
      <c r="H1076" s="22" t="n">
        <v>282769</v>
      </c>
      <c r="I1076" s="23" t="n">
        <v>8836.530000000001</v>
      </c>
      <c r="J1076" s="18" t="n">
        <v>-0.1194</v>
      </c>
      <c r="K1076" s="24" t="n">
        <v>79.90000000000001</v>
      </c>
      <c r="L1076" s="4" t="n">
        <v>6</v>
      </c>
      <c r="M1076" s="4" t="inlineStr">
        <is>
          <t>baja</t>
        </is>
      </c>
      <c r="N1076" s="4" t="inlineStr">
        <is>
          <t>por debajo de comparables</t>
        </is>
      </c>
      <c r="O1076" s="4" t="n"/>
    </row>
    <row r="1077">
      <c r="A1077" s="4" t="inlineStr">
        <is>
          <t>MD-1624</t>
        </is>
      </c>
      <c r="B1077" s="21" t="n">
        <v>46096</v>
      </c>
      <c r="C1077" s="4" t="inlineStr">
        <is>
          <t>Latina</t>
        </is>
      </c>
      <c r="D1077" s="4" t="n">
        <v>43</v>
      </c>
      <c r="E1077" s="4" t="inlineStr">
        <is>
          <t>obra nueva</t>
        </is>
      </c>
      <c r="F1077" s="22" t="n">
        <v>140000</v>
      </c>
      <c r="G1077" s="23" t="n">
        <v>3255.81</v>
      </c>
      <c r="H1077" s="22" t="n">
        <v>143092</v>
      </c>
      <c r="I1077" s="23" t="n">
        <v>3327.71</v>
      </c>
      <c r="J1077" s="18" t="n">
        <v>-0.0216</v>
      </c>
      <c r="K1077" s="24" t="n">
        <v>55.4</v>
      </c>
      <c r="L1077" s="4" t="n">
        <v>17</v>
      </c>
      <c r="M1077" s="4" t="inlineStr">
        <is>
          <t>alta</t>
        </is>
      </c>
      <c r="N1077" s="4" t="inlineStr">
        <is>
          <t>en linea con comparables</t>
        </is>
      </c>
      <c r="O1077" s="4" t="n"/>
    </row>
    <row r="1078">
      <c r="A1078" s="4" t="inlineStr">
        <is>
          <t>MD-1041</t>
        </is>
      </c>
      <c r="B1078" s="21" t="n">
        <v>46096</v>
      </c>
      <c r="C1078" s="4" t="inlineStr">
        <is>
          <t>Fuencarral-El Pardo</t>
        </is>
      </c>
      <c r="D1078" s="4" t="n">
        <v>190</v>
      </c>
      <c r="E1078" s="4" t="inlineStr">
        <is>
          <t>buen estado</t>
        </is>
      </c>
      <c r="F1078" s="22" t="n">
        <v>725000</v>
      </c>
      <c r="G1078" s="23" t="n">
        <v>3815.79</v>
      </c>
      <c r="H1078" s="22" t="n">
        <v>948112</v>
      </c>
      <c r="I1078" s="23" t="n">
        <v>4990.06</v>
      </c>
      <c r="J1078" s="18" t="n">
        <v>-0.2353</v>
      </c>
      <c r="K1078" s="24" t="n">
        <v>100</v>
      </c>
      <c r="L1078" s="4" t="n">
        <v>11</v>
      </c>
      <c r="M1078" s="4" t="inlineStr">
        <is>
          <t>baja</t>
        </is>
      </c>
      <c r="N1078" s="4" t="inlineStr">
        <is>
          <t>por debajo de comparables</t>
        </is>
      </c>
      <c r="O1078" s="4" t="n"/>
    </row>
    <row r="1079">
      <c r="A1079" s="4" t="inlineStr">
        <is>
          <t>MD-1880</t>
        </is>
      </c>
      <c r="B1079" s="21" t="n">
        <v>46096</v>
      </c>
      <c r="C1079" s="4" t="inlineStr">
        <is>
          <t>Moncloa-Aravaca</t>
        </is>
      </c>
      <c r="D1079" s="4" t="n">
        <v>120</v>
      </c>
      <c r="E1079" s="4" t="inlineStr">
        <is>
          <t>reformado</t>
        </is>
      </c>
      <c r="F1079" s="22" t="n">
        <v>692000</v>
      </c>
      <c r="G1079" s="23" t="n">
        <v>5766.67</v>
      </c>
      <c r="H1079" s="22" t="n"/>
      <c r="I1079" s="23" t="n"/>
      <c r="J1079" s="18" t="n"/>
      <c r="K1079" s="24" t="n"/>
      <c r="L1079" s="4" t="n">
        <v>3</v>
      </c>
      <c r="M1079" s="4" t="inlineStr">
        <is>
          <t>sin muestra</t>
        </is>
      </c>
      <c r="N1079" s="4" t="inlineStr">
        <is>
          <t>no valorable</t>
        </is>
      </c>
      <c r="O1079" s="4" t="inlineStr">
        <is>
          <t>segmento con pocas operaciones comparables</t>
        </is>
      </c>
    </row>
    <row r="1080">
      <c r="A1080" s="4" t="inlineStr">
        <is>
          <t>MD-1609</t>
        </is>
      </c>
      <c r="B1080" s="21" t="n">
        <v>46096</v>
      </c>
      <c r="C1080" s="4" t="inlineStr">
        <is>
          <t>San Blas-Canillejas</t>
        </is>
      </c>
      <c r="D1080" s="4" t="n">
        <v>181</v>
      </c>
      <c r="E1080" s="4" t="inlineStr">
        <is>
          <t>buen estado</t>
        </is>
      </c>
      <c r="F1080" s="22" t="n">
        <v>588000</v>
      </c>
      <c r="G1080" s="23" t="n">
        <v>3248.62</v>
      </c>
      <c r="H1080" s="22" t="n"/>
      <c r="I1080" s="23" t="n"/>
      <c r="J1080" s="18" t="n"/>
      <c r="K1080" s="24" t="n"/>
      <c r="L1080" s="4" t="n">
        <v>4</v>
      </c>
      <c r="M1080" s="4" t="inlineStr">
        <is>
          <t>sin muestra</t>
        </is>
      </c>
      <c r="N1080" s="4" t="inlineStr">
        <is>
          <t>no valorable</t>
        </is>
      </c>
      <c r="O1080" s="4" t="inlineStr">
        <is>
          <t>segmento con pocas operaciones comparables</t>
        </is>
      </c>
    </row>
    <row r="1081">
      <c r="A1081" s="4" t="inlineStr">
        <is>
          <t>MD-1849</t>
        </is>
      </c>
      <c r="B1081" s="21" t="n">
        <v>46096</v>
      </c>
      <c r="C1081" s="4" t="inlineStr">
        <is>
          <t>Chamartin</t>
        </is>
      </c>
      <c r="D1081" s="4" t="n">
        <v>82</v>
      </c>
      <c r="E1081" s="4" t="inlineStr">
        <is>
          <t>reformado</t>
        </is>
      </c>
      <c r="F1081" s="22" t="n">
        <v>844000</v>
      </c>
      <c r="G1081" s="23" t="n">
        <v>10292.68</v>
      </c>
      <c r="H1081" s="22" t="n">
        <v>725221</v>
      </c>
      <c r="I1081" s="23" t="n">
        <v>8844.16</v>
      </c>
      <c r="J1081" s="18" t="n">
        <v>0.1638</v>
      </c>
      <c r="K1081" s="24" t="n">
        <v>9.1</v>
      </c>
      <c r="L1081" s="4" t="n">
        <v>19</v>
      </c>
      <c r="M1081" s="4" t="inlineStr">
        <is>
          <t>alta</t>
        </is>
      </c>
      <c r="N1081" s="4" t="inlineStr">
        <is>
          <t>por encima de comparables</t>
        </is>
      </c>
      <c r="O1081" s="4" t="n"/>
    </row>
    <row r="1082">
      <c r="A1082" s="4" t="inlineStr">
        <is>
          <t>MD-0172</t>
        </is>
      </c>
      <c r="B1082" s="21" t="n">
        <v>46096</v>
      </c>
      <c r="C1082" s="4" t="inlineStr">
        <is>
          <t>Usera</t>
        </is>
      </c>
      <c r="D1082" s="4" t="n">
        <v>126</v>
      </c>
      <c r="E1082" s="4" t="inlineStr">
        <is>
          <t>buen estado</t>
        </is>
      </c>
      <c r="F1082" s="22" t="n">
        <v>341000</v>
      </c>
      <c r="G1082" s="23" t="n">
        <v>2706.35</v>
      </c>
      <c r="H1082" s="22" t="n"/>
      <c r="I1082" s="23" t="n"/>
      <c r="J1082" s="18" t="n"/>
      <c r="K1082" s="24" t="n"/>
      <c r="L1082" s="4" t="n">
        <v>2</v>
      </c>
      <c r="M1082" s="4" t="inlineStr">
        <is>
          <t>sin muestra</t>
        </is>
      </c>
      <c r="N1082" s="4" t="inlineStr">
        <is>
          <t>no valorable</t>
        </is>
      </c>
      <c r="O1082" s="4" t="inlineStr">
        <is>
          <t>segmento con pocas operaciones comparables</t>
        </is>
      </c>
    </row>
    <row r="1083">
      <c r="A1083" s="4" t="inlineStr">
        <is>
          <t>MD-0493</t>
        </is>
      </c>
      <c r="B1083" s="21" t="n">
        <v>46097</v>
      </c>
      <c r="C1083" s="4" t="inlineStr">
        <is>
          <t>Carabanchel</t>
        </is>
      </c>
      <c r="D1083" s="4" t="n">
        <v>71</v>
      </c>
      <c r="E1083" s="4" t="inlineStr">
        <is>
          <t>buen estado</t>
        </is>
      </c>
      <c r="F1083" s="22" t="n">
        <v>142000</v>
      </c>
      <c r="G1083" s="23" t="n">
        <v>2000</v>
      </c>
      <c r="H1083" s="22" t="n">
        <v>236676</v>
      </c>
      <c r="I1083" s="23" t="n">
        <v>3333.47</v>
      </c>
      <c r="J1083" s="18" t="n">
        <v>-0.4</v>
      </c>
      <c r="K1083" s="24" t="n">
        <v>100</v>
      </c>
      <c r="L1083" s="4" t="n">
        <v>31</v>
      </c>
      <c r="M1083" s="4" t="inlineStr">
        <is>
          <t>alta</t>
        </is>
      </c>
      <c r="N1083" s="4" t="inlineStr">
        <is>
          <t>por debajo de comparables</t>
        </is>
      </c>
      <c r="O1083" s="4" t="n"/>
    </row>
    <row r="1084">
      <c r="A1084" s="4" t="inlineStr">
        <is>
          <t>MD-0226</t>
        </is>
      </c>
      <c r="B1084" s="21" t="n">
        <v>46098</v>
      </c>
      <c r="C1084" s="4" t="inlineStr">
        <is>
          <t>Chamartin</t>
        </is>
      </c>
      <c r="D1084" s="4" t="n">
        <v>169</v>
      </c>
      <c r="E1084" s="4" t="inlineStr">
        <is>
          <t>reformado</t>
        </is>
      </c>
      <c r="F1084" s="22" t="n">
        <v>1818000</v>
      </c>
      <c r="G1084" s="23" t="n">
        <v>10757.4</v>
      </c>
      <c r="H1084" s="22" t="n">
        <v>1477503</v>
      </c>
      <c r="I1084" s="23" t="n">
        <v>8742.620000000001</v>
      </c>
      <c r="J1084" s="18" t="n">
        <v>0.2305</v>
      </c>
      <c r="K1084" s="24" t="n">
        <v>0</v>
      </c>
      <c r="L1084" s="4" t="n">
        <v>14</v>
      </c>
      <c r="M1084" s="4" t="inlineStr">
        <is>
          <t>media</t>
        </is>
      </c>
      <c r="N1084" s="4" t="inlineStr">
        <is>
          <t>por encima de comparables</t>
        </is>
      </c>
      <c r="O1084" s="4" t="n"/>
    </row>
    <row r="1085">
      <c r="A1085" s="4" t="inlineStr">
        <is>
          <t>MD-1323</t>
        </is>
      </c>
      <c r="B1085" s="21" t="n">
        <v>46098</v>
      </c>
      <c r="C1085" s="4" t="inlineStr">
        <is>
          <t>Retiro</t>
        </is>
      </c>
      <c r="D1085" s="4" t="n">
        <v>141</v>
      </c>
      <c r="E1085" s="4" t="inlineStr">
        <is>
          <t>buen estado</t>
        </is>
      </c>
      <c r="F1085" s="22" t="n">
        <v>90000</v>
      </c>
      <c r="G1085" s="23" t="n">
        <v>638.3</v>
      </c>
      <c r="H1085" s="22" t="n">
        <v>764162</v>
      </c>
      <c r="I1085" s="23" t="n">
        <v>5419.59</v>
      </c>
      <c r="J1085" s="18" t="n">
        <v>-0.8822</v>
      </c>
      <c r="K1085" s="24" t="n">
        <v>100</v>
      </c>
      <c r="L1085" s="4" t="n">
        <v>13</v>
      </c>
      <c r="M1085" s="4" t="inlineStr">
        <is>
          <t>media</t>
        </is>
      </c>
      <c r="N1085" s="4" t="inlineStr">
        <is>
          <t>por debajo de comparables</t>
        </is>
      </c>
      <c r="O1085" s="4" t="n"/>
    </row>
    <row r="1086">
      <c r="A1086" s="4" t="inlineStr">
        <is>
          <t>MD-0034</t>
        </is>
      </c>
      <c r="B1086" s="21" t="n">
        <v>46098</v>
      </c>
      <c r="C1086" s="4" t="inlineStr">
        <is>
          <t>Ciudad Lineal</t>
        </is>
      </c>
      <c r="D1086" s="4" t="n">
        <v>76</v>
      </c>
      <c r="E1086" s="4" t="inlineStr">
        <is>
          <t>buen estado</t>
        </is>
      </c>
      <c r="F1086" s="22" t="n">
        <v>274000</v>
      </c>
      <c r="G1086" s="23" t="n">
        <v>3605.26</v>
      </c>
      <c r="H1086" s="22" t="n">
        <v>343872</v>
      </c>
      <c r="I1086" s="23" t="n">
        <v>4524.64</v>
      </c>
      <c r="J1086" s="18" t="n">
        <v>-0.2032</v>
      </c>
      <c r="K1086" s="24" t="n">
        <v>100</v>
      </c>
      <c r="L1086" s="4" t="n">
        <v>21</v>
      </c>
      <c r="M1086" s="4" t="inlineStr">
        <is>
          <t>media</t>
        </is>
      </c>
      <c r="N1086" s="4" t="inlineStr">
        <is>
          <t>por debajo de comparables</t>
        </is>
      </c>
      <c r="O1086" s="4" t="n"/>
    </row>
    <row r="1087">
      <c r="A1087" s="4" t="inlineStr">
        <is>
          <t>MD-1923</t>
        </is>
      </c>
      <c r="B1087" s="21" t="n">
        <v>46098</v>
      </c>
      <c r="C1087" s="4" t="inlineStr">
        <is>
          <t>Puente de Vallecas</t>
        </is>
      </c>
      <c r="D1087" s="4" t="n">
        <v>37</v>
      </c>
      <c r="E1087" s="4" t="inlineStr">
        <is>
          <t>buen estado</t>
        </is>
      </c>
      <c r="F1087" s="22" t="n">
        <v>103000</v>
      </c>
      <c r="G1087" s="23" t="n">
        <v>2783.78</v>
      </c>
      <c r="H1087" s="22" t="n">
        <v>103516</v>
      </c>
      <c r="I1087" s="23" t="n">
        <v>2797.72</v>
      </c>
      <c r="J1087" s="18" t="n">
        <v>-0.005</v>
      </c>
      <c r="K1087" s="24" t="n">
        <v>51.2</v>
      </c>
      <c r="L1087" s="4" t="n">
        <v>20</v>
      </c>
      <c r="M1087" s="4" t="inlineStr">
        <is>
          <t>alta</t>
        </is>
      </c>
      <c r="N1087" s="4" t="inlineStr">
        <is>
          <t>en linea con comparables</t>
        </is>
      </c>
      <c r="O1087" s="4" t="n"/>
    </row>
    <row r="1088">
      <c r="A1088" s="4" t="inlineStr">
        <is>
          <t>MD-0107</t>
        </is>
      </c>
      <c r="B1088" s="21" t="n">
        <v>46098</v>
      </c>
      <c r="C1088" s="4" t="inlineStr">
        <is>
          <t>Latina</t>
        </is>
      </c>
      <c r="D1088" s="4" t="n">
        <v>74</v>
      </c>
      <c r="E1088" s="4" t="inlineStr">
        <is>
          <t>obra nueva</t>
        </is>
      </c>
      <c r="F1088" s="22" t="n">
        <v>350000</v>
      </c>
      <c r="G1088" s="23" t="n">
        <v>4729.73</v>
      </c>
      <c r="H1088" s="22" t="n">
        <v>275112</v>
      </c>
      <c r="I1088" s="23" t="n">
        <v>3717.72</v>
      </c>
      <c r="J1088" s="18" t="n">
        <v>0.2722</v>
      </c>
      <c r="K1088" s="24" t="n">
        <v>0</v>
      </c>
      <c r="L1088" s="4" t="n">
        <v>39</v>
      </c>
      <c r="M1088" s="4" t="inlineStr">
        <is>
          <t>media</t>
        </is>
      </c>
      <c r="N1088" s="4" t="inlineStr">
        <is>
          <t>por encima de comparables</t>
        </is>
      </c>
      <c r="O1088" s="4" t="n"/>
    </row>
    <row r="1089">
      <c r="A1089" s="4" t="inlineStr">
        <is>
          <t>MD-1338</t>
        </is>
      </c>
      <c r="B1089" s="21" t="n">
        <v>46098</v>
      </c>
      <c r="C1089" s="4" t="inlineStr">
        <is>
          <t>Vicalvaro</t>
        </is>
      </c>
      <c r="D1089" s="4" t="n">
        <v>40</v>
      </c>
      <c r="E1089" s="4" t="inlineStr">
        <is>
          <t>reformado</t>
        </is>
      </c>
      <c r="F1089" s="22" t="n">
        <v>165000</v>
      </c>
      <c r="G1089" s="23" t="n">
        <v>4125</v>
      </c>
      <c r="H1089" s="22" t="n"/>
      <c r="I1089" s="23" t="n"/>
      <c r="J1089" s="18" t="n"/>
      <c r="K1089" s="24" t="n"/>
      <c r="L1089" s="4" t="n">
        <v>3</v>
      </c>
      <c r="M1089" s="4" t="inlineStr">
        <is>
          <t>sin muestra</t>
        </is>
      </c>
      <c r="N1089" s="4" t="inlineStr">
        <is>
          <t>no valorable</t>
        </is>
      </c>
      <c r="O1089" s="4" t="inlineStr">
        <is>
          <t>segmento con pocas operaciones comparables</t>
        </is>
      </c>
    </row>
    <row r="1090">
      <c r="A1090" s="4" t="inlineStr">
        <is>
          <t>MD-1473</t>
        </is>
      </c>
      <c r="B1090" s="21" t="n">
        <v>46098</v>
      </c>
      <c r="C1090" s="4" t="inlineStr">
        <is>
          <t>Hortaleza</t>
        </is>
      </c>
      <c r="D1090" s="4" t="n">
        <v>68</v>
      </c>
      <c r="E1090" s="4" t="inlineStr">
        <is>
          <t>buen estado</t>
        </is>
      </c>
      <c r="F1090" s="22" t="n">
        <v>412000</v>
      </c>
      <c r="G1090" s="23" t="n">
        <v>6058.82</v>
      </c>
      <c r="H1090" s="22" t="n">
        <v>341533</v>
      </c>
      <c r="I1090" s="23" t="n">
        <v>5022.54</v>
      </c>
      <c r="J1090" s="18" t="n">
        <v>0.2063</v>
      </c>
      <c r="K1090" s="24" t="n">
        <v>0</v>
      </c>
      <c r="L1090" s="4" t="n">
        <v>19</v>
      </c>
      <c r="M1090" s="4" t="inlineStr">
        <is>
          <t>media</t>
        </is>
      </c>
      <c r="N1090" s="4" t="inlineStr">
        <is>
          <t>por encima de comparables</t>
        </is>
      </c>
      <c r="O1090" s="4" t="n"/>
    </row>
    <row r="1091">
      <c r="A1091" s="4" t="inlineStr">
        <is>
          <t>MD-0688</t>
        </is>
      </c>
      <c r="B1091" s="21" t="n">
        <v>46099</v>
      </c>
      <c r="C1091" s="4" t="inlineStr">
        <is>
          <t>Hortaleza</t>
        </is>
      </c>
      <c r="D1091" s="4" t="n">
        <v>180</v>
      </c>
      <c r="E1091" s="4" t="inlineStr">
        <is>
          <t>reformado</t>
        </is>
      </c>
      <c r="F1091" s="22" t="n">
        <v>834000</v>
      </c>
      <c r="G1091" s="23" t="n">
        <v>4633.33</v>
      </c>
      <c r="H1091" s="22" t="n">
        <v>921449</v>
      </c>
      <c r="I1091" s="23" t="n">
        <v>5119.16</v>
      </c>
      <c r="J1091" s="18" t="n">
        <v>-0.0949</v>
      </c>
      <c r="K1091" s="24" t="n">
        <v>73.7</v>
      </c>
      <c r="L1091" s="4" t="n">
        <v>22</v>
      </c>
      <c r="M1091" s="4" t="inlineStr">
        <is>
          <t>media</t>
        </is>
      </c>
      <c r="N1091" s="4" t="inlineStr">
        <is>
          <t>en linea con comparables</t>
        </is>
      </c>
      <c r="O1091" s="4" t="n"/>
    </row>
    <row r="1092">
      <c r="A1092" s="4" t="inlineStr">
        <is>
          <t>MD-0798</t>
        </is>
      </c>
      <c r="B1092" s="21" t="n">
        <v>46099</v>
      </c>
      <c r="C1092" s="4" t="inlineStr">
        <is>
          <t>Tetuan</t>
        </is>
      </c>
      <c r="D1092" s="4" t="n">
        <v>39</v>
      </c>
      <c r="E1092" s="4" t="inlineStr">
        <is>
          <t>buen estado</t>
        </is>
      </c>
      <c r="F1092" s="22" t="n">
        <v>148000</v>
      </c>
      <c r="G1092" s="23" t="n">
        <v>3794.87</v>
      </c>
      <c r="H1092" s="22" t="n">
        <v>199387</v>
      </c>
      <c r="I1092" s="23" t="n">
        <v>5112.48</v>
      </c>
      <c r="J1092" s="18" t="n">
        <v>-0.2577</v>
      </c>
      <c r="K1092" s="24" t="n">
        <v>100</v>
      </c>
      <c r="L1092" s="4" t="n">
        <v>12</v>
      </c>
      <c r="M1092" s="4" t="inlineStr">
        <is>
          <t>media</t>
        </is>
      </c>
      <c r="N1092" s="4" t="inlineStr">
        <is>
          <t>por debajo de comparables</t>
        </is>
      </c>
      <c r="O1092" s="4" t="n"/>
    </row>
    <row r="1093">
      <c r="A1093" s="4" t="inlineStr">
        <is>
          <t>MD-0618</t>
        </is>
      </c>
      <c r="B1093" s="21" t="n">
        <v>46099</v>
      </c>
      <c r="C1093" s="4" t="inlineStr">
        <is>
          <t>Ciudad Lineal</t>
        </is>
      </c>
      <c r="D1093" s="4" t="n">
        <v>40</v>
      </c>
      <c r="E1093" s="4" t="inlineStr">
        <is>
          <t>a reformar</t>
        </is>
      </c>
      <c r="F1093" s="22" t="n">
        <v>83000</v>
      </c>
      <c r="G1093" s="23" t="n">
        <v>2075</v>
      </c>
      <c r="H1093" s="22" t="n">
        <v>128997</v>
      </c>
      <c r="I1093" s="23" t="n">
        <v>3224.92</v>
      </c>
      <c r="J1093" s="18" t="n">
        <v>-0.3566</v>
      </c>
      <c r="K1093" s="24" t="n">
        <v>100</v>
      </c>
      <c r="L1093" s="4" t="n">
        <v>15</v>
      </c>
      <c r="M1093" s="4" t="inlineStr">
        <is>
          <t>alta</t>
        </is>
      </c>
      <c r="N1093" s="4" t="inlineStr">
        <is>
          <t>por debajo de comparables</t>
        </is>
      </c>
      <c r="O1093" s="4" t="n"/>
    </row>
    <row r="1094">
      <c r="A1094" s="4" t="inlineStr">
        <is>
          <t>MD-0981</t>
        </is>
      </c>
      <c r="B1094" s="21" t="n">
        <v>46099</v>
      </c>
      <c r="C1094" s="4" t="inlineStr">
        <is>
          <t>Tetuan</t>
        </is>
      </c>
      <c r="D1094" s="4" t="n">
        <v>41</v>
      </c>
      <c r="E1094" s="4" t="inlineStr">
        <is>
          <t>buen estado</t>
        </is>
      </c>
      <c r="F1094" s="22" t="n">
        <v>189000</v>
      </c>
      <c r="G1094" s="23" t="n">
        <v>4609.76</v>
      </c>
      <c r="H1094" s="22" t="n">
        <v>240335</v>
      </c>
      <c r="I1094" s="23" t="n">
        <v>5861.82</v>
      </c>
      <c r="J1094" s="18" t="n">
        <v>-0.2136</v>
      </c>
      <c r="K1094" s="24" t="n">
        <v>100</v>
      </c>
      <c r="L1094" s="4" t="n">
        <v>14</v>
      </c>
      <c r="M1094" s="4" t="inlineStr">
        <is>
          <t>media</t>
        </is>
      </c>
      <c r="N1094" s="4" t="inlineStr">
        <is>
          <t>por debajo de comparables</t>
        </is>
      </c>
      <c r="O1094" s="4" t="n"/>
    </row>
    <row r="1095">
      <c r="A1095" s="4" t="inlineStr">
        <is>
          <t>MD-1900</t>
        </is>
      </c>
      <c r="B1095" s="21" t="n">
        <v>46099</v>
      </c>
      <c r="C1095" s="4" t="inlineStr">
        <is>
          <t>Chamartin</t>
        </is>
      </c>
      <c r="D1095" s="4" t="n">
        <v>181</v>
      </c>
      <c r="E1095" s="4" t="inlineStr">
        <is>
          <t>buen estado</t>
        </is>
      </c>
      <c r="F1095" s="22" t="n">
        <v>1222000</v>
      </c>
      <c r="G1095" s="23" t="n">
        <v>6751.38</v>
      </c>
      <c r="H1095" s="22" t="n">
        <v>1553737</v>
      </c>
      <c r="I1095" s="23" t="n">
        <v>8584.18</v>
      </c>
      <c r="J1095" s="18" t="n">
        <v>-0.2135</v>
      </c>
      <c r="K1095" s="24" t="n">
        <v>100</v>
      </c>
      <c r="L1095" s="4" t="n">
        <v>15</v>
      </c>
      <c r="M1095" s="4" t="inlineStr">
        <is>
          <t>media</t>
        </is>
      </c>
      <c r="N1095" s="4" t="inlineStr">
        <is>
          <t>por debajo de comparables</t>
        </is>
      </c>
      <c r="O1095" s="4" t="n"/>
    </row>
    <row r="1096">
      <c r="A1096" s="4" t="inlineStr">
        <is>
          <t>MD-0467</t>
        </is>
      </c>
      <c r="B1096" s="21" t="n">
        <v>46099</v>
      </c>
      <c r="C1096" s="4" t="inlineStr">
        <is>
          <t>Retiro</t>
        </is>
      </c>
      <c r="D1096" s="4" t="n">
        <v>134</v>
      </c>
      <c r="E1096" s="4" t="inlineStr">
        <is>
          <t>a reformar</t>
        </is>
      </c>
      <c r="F1096" s="22" t="n">
        <v>758000</v>
      </c>
      <c r="G1096" s="23" t="n">
        <v>5656.72</v>
      </c>
      <c r="H1096" s="22" t="n">
        <v>763369</v>
      </c>
      <c r="I1096" s="23" t="n">
        <v>5696.78</v>
      </c>
      <c r="J1096" s="18" t="n">
        <v>-0.007</v>
      </c>
      <c r="K1096" s="24" t="n">
        <v>51.8</v>
      </c>
      <c r="L1096" s="4" t="n">
        <v>12</v>
      </c>
      <c r="M1096" s="4" t="inlineStr">
        <is>
          <t>media</t>
        </is>
      </c>
      <c r="N1096" s="4" t="inlineStr">
        <is>
          <t>en linea con comparables</t>
        </is>
      </c>
      <c r="O1096" s="4" t="n"/>
    </row>
    <row r="1097">
      <c r="A1097" s="4" t="inlineStr">
        <is>
          <t>MD-1463</t>
        </is>
      </c>
      <c r="B1097" s="21" t="n">
        <v>46100</v>
      </c>
      <c r="C1097" s="4" t="inlineStr">
        <is>
          <t>Vicalvaro</t>
        </is>
      </c>
      <c r="D1097" s="4" t="n">
        <v>100</v>
      </c>
      <c r="E1097" s="4" t="inlineStr">
        <is>
          <t>reformado</t>
        </is>
      </c>
      <c r="F1097" s="22" t="n">
        <v>399000</v>
      </c>
      <c r="G1097" s="23" t="n">
        <v>3990</v>
      </c>
      <c r="H1097" s="22" t="n">
        <v>382222</v>
      </c>
      <c r="I1097" s="23" t="n">
        <v>3822.22</v>
      </c>
      <c r="J1097" s="18" t="n">
        <v>0.0439</v>
      </c>
      <c r="K1097" s="24" t="n">
        <v>39</v>
      </c>
      <c r="L1097" s="4" t="n">
        <v>19</v>
      </c>
      <c r="M1097" s="4" t="inlineStr">
        <is>
          <t>alta</t>
        </is>
      </c>
      <c r="N1097" s="4" t="inlineStr">
        <is>
          <t>en linea con comparables</t>
        </is>
      </c>
      <c r="O1097" s="4" t="n"/>
    </row>
    <row r="1098">
      <c r="A1098" s="4" t="inlineStr">
        <is>
          <t>MD-1901</t>
        </is>
      </c>
      <c r="B1098" s="21" t="n">
        <v>46100</v>
      </c>
      <c r="C1098" s="4" t="inlineStr">
        <is>
          <t>Usera</t>
        </is>
      </c>
      <c r="D1098" s="4" t="n">
        <v>59</v>
      </c>
      <c r="E1098" s="4" t="inlineStr">
        <is>
          <t>reformado</t>
        </is>
      </c>
      <c r="F1098" s="22" t="n">
        <v>218000</v>
      </c>
      <c r="G1098" s="23" t="n">
        <v>3694.92</v>
      </c>
      <c r="H1098" s="22" t="n">
        <v>163569</v>
      </c>
      <c r="I1098" s="23" t="n">
        <v>2772.36</v>
      </c>
      <c r="J1098" s="18" t="n">
        <v>0.3328</v>
      </c>
      <c r="K1098" s="24" t="n">
        <v>0</v>
      </c>
      <c r="L1098" s="4" t="n">
        <v>8</v>
      </c>
      <c r="M1098" s="4" t="inlineStr">
        <is>
          <t>media</t>
        </is>
      </c>
      <c r="N1098" s="4" t="inlineStr">
        <is>
          <t>por encima de comparables</t>
        </is>
      </c>
      <c r="O1098" s="4" t="n"/>
    </row>
    <row r="1099">
      <c r="A1099" s="4" t="inlineStr">
        <is>
          <t>MD-2000</t>
        </is>
      </c>
      <c r="B1099" s="21" t="n">
        <v>46100</v>
      </c>
      <c r="C1099" s="4" t="inlineStr">
        <is>
          <t>Villaverde</t>
        </is>
      </c>
      <c r="D1099" s="4" t="n">
        <v>87</v>
      </c>
      <c r="E1099" s="4" t="inlineStr">
        <is>
          <t>obra nueva</t>
        </is>
      </c>
      <c r="F1099" s="22" t="n">
        <v>277000</v>
      </c>
      <c r="G1099" s="23" t="n">
        <v>3183.91</v>
      </c>
      <c r="H1099" s="22" t="n">
        <v>215325</v>
      </c>
      <c r="I1099" s="23" t="n">
        <v>2475</v>
      </c>
      <c r="J1099" s="18" t="n">
        <v>0.2864</v>
      </c>
      <c r="K1099" s="24" t="n">
        <v>0</v>
      </c>
      <c r="L1099" s="4" t="n">
        <v>5</v>
      </c>
      <c r="M1099" s="4" t="inlineStr">
        <is>
          <t>baja</t>
        </is>
      </c>
      <c r="N1099" s="4" t="inlineStr">
        <is>
          <t>por encima de comparables</t>
        </is>
      </c>
      <c r="O1099" s="4" t="n"/>
    </row>
    <row r="1100">
      <c r="A1100" s="4" t="inlineStr">
        <is>
          <t>MD-0820</t>
        </is>
      </c>
      <c r="B1100" s="21" t="n">
        <v>46100</v>
      </c>
      <c r="C1100" s="4" t="inlineStr">
        <is>
          <t>Moratalaz</t>
        </is>
      </c>
      <c r="D1100" s="4" t="n">
        <v>63</v>
      </c>
      <c r="E1100" s="4" t="inlineStr">
        <is>
          <t>reformado</t>
        </is>
      </c>
      <c r="F1100" s="22" t="n">
        <v>234000</v>
      </c>
      <c r="G1100" s="23" t="n">
        <v>3714.29</v>
      </c>
      <c r="H1100" s="22" t="n">
        <v>256664</v>
      </c>
      <c r="I1100" s="23" t="n">
        <v>4074.04</v>
      </c>
      <c r="J1100" s="18" t="n">
        <v>-0.0883</v>
      </c>
      <c r="K1100" s="24" t="n">
        <v>72.09999999999999</v>
      </c>
      <c r="L1100" s="4" t="n">
        <v>11</v>
      </c>
      <c r="M1100" s="4" t="inlineStr">
        <is>
          <t>media</t>
        </is>
      </c>
      <c r="N1100" s="4" t="inlineStr">
        <is>
          <t>en linea con comparables</t>
        </is>
      </c>
      <c r="O1100" s="4" t="n"/>
    </row>
    <row r="1101">
      <c r="A1101" s="4" t="inlineStr">
        <is>
          <t>MD-0454</t>
        </is>
      </c>
      <c r="B1101" s="21" t="n">
        <v>46101</v>
      </c>
      <c r="C1101" s="4" t="inlineStr">
        <is>
          <t>Latina</t>
        </is>
      </c>
      <c r="D1101" s="4" t="n">
        <v>54</v>
      </c>
      <c r="E1101" s="4" t="inlineStr">
        <is>
          <t>buen estado</t>
        </is>
      </c>
      <c r="F1101" s="22" t="n">
        <v>176000</v>
      </c>
      <c r="G1101" s="23" t="n">
        <v>3259.26</v>
      </c>
      <c r="H1101" s="22" t="n">
        <v>197583</v>
      </c>
      <c r="I1101" s="23" t="n">
        <v>3658.94</v>
      </c>
      <c r="J1101" s="18" t="n">
        <v>-0.1092</v>
      </c>
      <c r="K1101" s="24" t="n">
        <v>77.3</v>
      </c>
      <c r="L1101" s="4" t="n">
        <v>28</v>
      </c>
      <c r="M1101" s="4" t="inlineStr">
        <is>
          <t>alta</t>
        </is>
      </c>
      <c r="N1101" s="4" t="inlineStr">
        <is>
          <t>por debajo de comparables</t>
        </is>
      </c>
      <c r="O1101" s="4" t="n"/>
    </row>
    <row r="1102">
      <c r="A1102" s="4" t="inlineStr">
        <is>
          <t>MD-1322</t>
        </is>
      </c>
      <c r="B1102" s="21" t="n">
        <v>46101</v>
      </c>
      <c r="C1102" s="4" t="inlineStr">
        <is>
          <t>Latina</t>
        </is>
      </c>
      <c r="D1102" s="4" t="n">
        <v>42</v>
      </c>
      <c r="E1102" s="4" t="inlineStr">
        <is>
          <t>buen estado</t>
        </is>
      </c>
      <c r="F1102" s="22" t="n">
        <v>131000</v>
      </c>
      <c r="G1102" s="23" t="n">
        <v>3119.05</v>
      </c>
      <c r="H1102" s="22" t="n">
        <v>120609</v>
      </c>
      <c r="I1102" s="23" t="n">
        <v>2871.65</v>
      </c>
      <c r="J1102" s="18" t="n">
        <v>0.0862</v>
      </c>
      <c r="K1102" s="24" t="n">
        <v>28.5</v>
      </c>
      <c r="L1102" s="4" t="n">
        <v>17</v>
      </c>
      <c r="M1102" s="4" t="inlineStr">
        <is>
          <t>alta</t>
        </is>
      </c>
      <c r="N1102" s="4" t="inlineStr">
        <is>
          <t>en linea con comparables</t>
        </is>
      </c>
      <c r="O1102" s="4" t="n"/>
    </row>
    <row r="1103">
      <c r="A1103" s="4" t="inlineStr">
        <is>
          <t>MD-0675</t>
        </is>
      </c>
      <c r="B1103" s="21" t="n">
        <v>46101</v>
      </c>
      <c r="C1103" s="4" t="inlineStr">
        <is>
          <t>San Blas-Canillejas</t>
        </is>
      </c>
      <c r="D1103" s="4" t="n">
        <v>58</v>
      </c>
      <c r="E1103" s="4" t="inlineStr">
        <is>
          <t>a reformar</t>
        </is>
      </c>
      <c r="F1103" s="22" t="n">
        <v>261000</v>
      </c>
      <c r="G1103" s="23" t="n">
        <v>4500</v>
      </c>
      <c r="H1103" s="22" t="n">
        <v>179472</v>
      </c>
      <c r="I1103" s="23" t="n">
        <v>3094.34</v>
      </c>
      <c r="J1103" s="18" t="n">
        <v>0.4543</v>
      </c>
      <c r="K1103" s="24" t="n">
        <v>0</v>
      </c>
      <c r="L1103" s="4" t="n">
        <v>17</v>
      </c>
      <c r="M1103" s="4" t="inlineStr">
        <is>
          <t>alta</t>
        </is>
      </c>
      <c r="N1103" s="4" t="inlineStr">
        <is>
          <t>por encima de comparables</t>
        </is>
      </c>
      <c r="O1103" s="4" t="n"/>
    </row>
    <row r="1104">
      <c r="A1104" s="4" t="inlineStr">
        <is>
          <t>MD-1149</t>
        </is>
      </c>
      <c r="B1104" s="21" t="n">
        <v>46102</v>
      </c>
      <c r="C1104" s="4" t="inlineStr">
        <is>
          <t>Moratalaz</t>
        </is>
      </c>
      <c r="D1104" s="4" t="n">
        <v>52</v>
      </c>
      <c r="E1104" s="4" t="inlineStr">
        <is>
          <t>buen estado</t>
        </is>
      </c>
      <c r="F1104" s="22" t="n">
        <v>246000</v>
      </c>
      <c r="G1104" s="23" t="n">
        <v>4730.77</v>
      </c>
      <c r="H1104" s="22" t="n">
        <v>206938</v>
      </c>
      <c r="I1104" s="23" t="n">
        <v>3979.57</v>
      </c>
      <c r="J1104" s="18" t="n">
        <v>0.1888</v>
      </c>
      <c r="K1104" s="24" t="n">
        <v>2.8</v>
      </c>
      <c r="L1104" s="4" t="n">
        <v>6</v>
      </c>
      <c r="M1104" s="4" t="inlineStr">
        <is>
          <t>baja</t>
        </is>
      </c>
      <c r="N1104" s="4" t="inlineStr">
        <is>
          <t>por encima de comparables</t>
        </is>
      </c>
      <c r="O1104" s="4" t="n"/>
    </row>
    <row r="1105">
      <c r="A1105" s="4" t="inlineStr">
        <is>
          <t>MD-1236</t>
        </is>
      </c>
      <c r="B1105" s="21" t="n">
        <v>46102</v>
      </c>
      <c r="C1105" s="4" t="inlineStr">
        <is>
          <t>Chamartin</t>
        </is>
      </c>
      <c r="D1105" s="4" t="n">
        <v>142</v>
      </c>
      <c r="E1105" s="4" t="inlineStr">
        <is>
          <t>buen estado</t>
        </is>
      </c>
      <c r="F1105" s="22" t="n">
        <v>875000</v>
      </c>
      <c r="G1105" s="23" t="n">
        <v>6161.97</v>
      </c>
      <c r="H1105" s="22" t="n">
        <v>1111207</v>
      </c>
      <c r="I1105" s="23" t="n">
        <v>7825.4</v>
      </c>
      <c r="J1105" s="18" t="n">
        <v>-0.2126</v>
      </c>
      <c r="K1105" s="24" t="n">
        <v>100</v>
      </c>
      <c r="L1105" s="4" t="n">
        <v>11</v>
      </c>
      <c r="M1105" s="4" t="inlineStr">
        <is>
          <t>media</t>
        </is>
      </c>
      <c r="N1105" s="4" t="inlineStr">
        <is>
          <t>por debajo de comparables</t>
        </is>
      </c>
      <c r="O1105" s="4" t="n"/>
    </row>
    <row r="1106">
      <c r="A1106" s="4" t="inlineStr">
        <is>
          <t>MD-1974</t>
        </is>
      </c>
      <c r="B1106" s="21" t="n">
        <v>46102</v>
      </c>
      <c r="C1106" s="4" t="inlineStr">
        <is>
          <t>Centro</t>
        </is>
      </c>
      <c r="D1106" s="4" t="n">
        <v>30</v>
      </c>
      <c r="E1106" s="4" t="inlineStr">
        <is>
          <t>reformado</t>
        </is>
      </c>
      <c r="F1106" s="22" t="n">
        <v>232000</v>
      </c>
      <c r="G1106" s="23" t="n">
        <v>7733.33</v>
      </c>
      <c r="H1106" s="22" t="n">
        <v>277260</v>
      </c>
      <c r="I1106" s="23" t="n">
        <v>9241.99</v>
      </c>
      <c r="J1106" s="18" t="n">
        <v>-0.1632</v>
      </c>
      <c r="K1106" s="24" t="n">
        <v>90.8</v>
      </c>
      <c r="L1106" s="4" t="n">
        <v>12</v>
      </c>
      <c r="M1106" s="4" t="inlineStr">
        <is>
          <t>media</t>
        </is>
      </c>
      <c r="N1106" s="4" t="inlineStr">
        <is>
          <t>por debajo de comparables</t>
        </is>
      </c>
      <c r="O1106" s="4" t="n"/>
    </row>
    <row r="1107">
      <c r="A1107" s="4" t="inlineStr">
        <is>
          <t>MD-1035</t>
        </is>
      </c>
      <c r="B1107" s="21" t="n">
        <v>46102</v>
      </c>
      <c r="C1107" s="4" t="inlineStr">
        <is>
          <t>Tetuan</t>
        </is>
      </c>
      <c r="D1107" s="4" t="n">
        <v>34</v>
      </c>
      <c r="E1107" s="4" t="inlineStr">
        <is>
          <t>buen estado</t>
        </is>
      </c>
      <c r="F1107" s="22" t="n">
        <v>170000</v>
      </c>
      <c r="G1107" s="23" t="n">
        <v>5000</v>
      </c>
      <c r="H1107" s="22" t="n">
        <v>173203</v>
      </c>
      <c r="I1107" s="23" t="n">
        <v>5094.21</v>
      </c>
      <c r="J1107" s="18" t="n">
        <v>-0.0185</v>
      </c>
      <c r="K1107" s="24" t="n">
        <v>54.6</v>
      </c>
      <c r="L1107" s="4" t="n">
        <v>13</v>
      </c>
      <c r="M1107" s="4" t="inlineStr">
        <is>
          <t>media</t>
        </is>
      </c>
      <c r="N1107" s="4" t="inlineStr">
        <is>
          <t>en linea con comparables</t>
        </is>
      </c>
      <c r="O1107" s="4" t="n"/>
    </row>
    <row r="1108">
      <c r="A1108" s="4" t="inlineStr">
        <is>
          <t>MD-1450</t>
        </is>
      </c>
      <c r="B1108" s="21" t="n">
        <v>46103</v>
      </c>
      <c r="C1108" s="4" t="inlineStr">
        <is>
          <t>Vicalvaro</t>
        </is>
      </c>
      <c r="D1108" s="4" t="n">
        <v>114</v>
      </c>
      <c r="E1108" s="4" t="inlineStr">
        <is>
          <t>buen estado</t>
        </is>
      </c>
      <c r="F1108" s="22" t="n">
        <v>355000</v>
      </c>
      <c r="G1108" s="23" t="n">
        <v>3114.04</v>
      </c>
      <c r="H1108" s="22" t="n">
        <v>343605</v>
      </c>
      <c r="I1108" s="23" t="n">
        <v>3014.08</v>
      </c>
      <c r="J1108" s="18" t="n">
        <v>0.0332</v>
      </c>
      <c r="K1108" s="24" t="n">
        <v>41.7</v>
      </c>
      <c r="L1108" s="4" t="n">
        <v>9</v>
      </c>
      <c r="M1108" s="4" t="inlineStr">
        <is>
          <t>media</t>
        </is>
      </c>
      <c r="N1108" s="4" t="inlineStr">
        <is>
          <t>en linea con comparables</t>
        </is>
      </c>
      <c r="O1108" s="4" t="n"/>
    </row>
    <row r="1109">
      <c r="A1109" s="4" t="inlineStr">
        <is>
          <t>MD-0296</t>
        </is>
      </c>
      <c r="B1109" s="21" t="n">
        <v>46103</v>
      </c>
      <c r="C1109" s="4" t="inlineStr">
        <is>
          <t>Tetuan</t>
        </is>
      </c>
      <c r="D1109" s="4" t="n">
        <v>96</v>
      </c>
      <c r="E1109" s="4" t="inlineStr">
        <is>
          <t>a reformar</t>
        </is>
      </c>
      <c r="F1109" s="22" t="n">
        <v>409000</v>
      </c>
      <c r="G1109" s="23" t="n">
        <v>4260.42</v>
      </c>
      <c r="H1109" s="22" t="n">
        <v>466466</v>
      </c>
      <c r="I1109" s="23" t="n">
        <v>4859.02</v>
      </c>
      <c r="J1109" s="18" t="n">
        <v>-0.1232</v>
      </c>
      <c r="K1109" s="24" t="n">
        <v>80.8</v>
      </c>
      <c r="L1109" s="4" t="n">
        <v>12</v>
      </c>
      <c r="M1109" s="4" t="inlineStr">
        <is>
          <t>media</t>
        </is>
      </c>
      <c r="N1109" s="4" t="inlineStr">
        <is>
          <t>por debajo de comparables</t>
        </is>
      </c>
      <c r="O1109" s="4" t="n"/>
    </row>
    <row r="1110">
      <c r="A1110" s="4" t="inlineStr">
        <is>
          <t>MD-0337</t>
        </is>
      </c>
      <c r="B1110" s="21" t="n">
        <v>46103</v>
      </c>
      <c r="C1110" s="4" t="inlineStr">
        <is>
          <t>Carabanchel</t>
        </is>
      </c>
      <c r="D1110" s="4" t="n">
        <v>41</v>
      </c>
      <c r="E1110" s="4" t="inlineStr">
        <is>
          <t>buen estado</t>
        </is>
      </c>
      <c r="F1110" s="22" t="n">
        <v>157000</v>
      </c>
      <c r="G1110" s="23" t="n">
        <v>3829.27</v>
      </c>
      <c r="H1110" s="22" t="n">
        <v>130541</v>
      </c>
      <c r="I1110" s="23" t="n">
        <v>3183.92</v>
      </c>
      <c r="J1110" s="18" t="n">
        <v>0.2027</v>
      </c>
      <c r="K1110" s="24" t="n">
        <v>0</v>
      </c>
      <c r="L1110" s="4" t="n">
        <v>14</v>
      </c>
      <c r="M1110" s="4" t="inlineStr">
        <is>
          <t>media</t>
        </is>
      </c>
      <c r="N1110" s="4" t="inlineStr">
        <is>
          <t>por encima de comparables</t>
        </is>
      </c>
      <c r="O1110" s="4" t="n"/>
    </row>
    <row r="1111">
      <c r="A1111" s="4" t="inlineStr">
        <is>
          <t>MD-1225</t>
        </is>
      </c>
      <c r="B1111" s="21" t="n">
        <v>46104</v>
      </c>
      <c r="C1111" s="4" t="inlineStr">
        <is>
          <t>Tetuan</t>
        </is>
      </c>
      <c r="D1111" s="4" t="n">
        <v>136</v>
      </c>
      <c r="E1111" s="4" t="inlineStr">
        <is>
          <t>buen estado</t>
        </is>
      </c>
      <c r="F1111" s="22" t="n">
        <v>586000</v>
      </c>
      <c r="G1111" s="23" t="n">
        <v>4308.82</v>
      </c>
      <c r="H1111" s="22" t="n"/>
      <c r="I1111" s="23" t="n"/>
      <c r="J1111" s="18" t="n"/>
      <c r="K1111" s="24" t="n"/>
      <c r="L1111" s="4" t="n">
        <v>4</v>
      </c>
      <c r="M1111" s="4" t="inlineStr">
        <is>
          <t>sin muestra</t>
        </is>
      </c>
      <c r="N1111" s="4" t="inlineStr">
        <is>
          <t>no valorable</t>
        </is>
      </c>
      <c r="O1111" s="4" t="inlineStr">
        <is>
          <t>segmento con pocas operaciones comparables</t>
        </is>
      </c>
    </row>
    <row r="1112">
      <c r="A1112" s="4" t="inlineStr">
        <is>
          <t>MD-0670</t>
        </is>
      </c>
      <c r="B1112" s="21" t="n">
        <v>46104</v>
      </c>
      <c r="C1112" s="4" t="inlineStr">
        <is>
          <t>Puente de Vallecas</t>
        </is>
      </c>
      <c r="D1112" s="4" t="n">
        <v>43</v>
      </c>
      <c r="E1112" s="4" t="inlineStr">
        <is>
          <t>buen estado</t>
        </is>
      </c>
      <c r="F1112" s="22" t="n">
        <v>123000</v>
      </c>
      <c r="G1112" s="23" t="n">
        <v>2860.47</v>
      </c>
      <c r="H1112" s="22" t="n">
        <v>119953</v>
      </c>
      <c r="I1112" s="23" t="n">
        <v>2789.61</v>
      </c>
      <c r="J1112" s="18" t="n">
        <v>0.0254</v>
      </c>
      <c r="K1112" s="24" t="n">
        <v>43.7</v>
      </c>
      <c r="L1112" s="4" t="n">
        <v>28</v>
      </c>
      <c r="M1112" s="4" t="inlineStr">
        <is>
          <t>alta</t>
        </is>
      </c>
      <c r="N1112" s="4" t="inlineStr">
        <is>
          <t>en linea con comparables</t>
        </is>
      </c>
      <c r="O1112" s="4" t="n"/>
    </row>
    <row r="1113">
      <c r="A1113" s="4" t="inlineStr">
        <is>
          <t>MD-0546</t>
        </is>
      </c>
      <c r="B1113" s="21" t="n">
        <v>46104</v>
      </c>
      <c r="C1113" s="4" t="inlineStr">
        <is>
          <t>Latina</t>
        </is>
      </c>
      <c r="D1113" s="4" t="n">
        <v>71</v>
      </c>
      <c r="E1113" s="4" t="inlineStr">
        <is>
          <t>buen estado</t>
        </is>
      </c>
      <c r="F1113" s="22" t="n">
        <v>282000</v>
      </c>
      <c r="G1113" s="23" t="n">
        <v>3971.83</v>
      </c>
      <c r="H1113" s="22" t="n">
        <v>200364</v>
      </c>
      <c r="I1113" s="23" t="n">
        <v>2822.03</v>
      </c>
      <c r="J1113" s="18" t="n">
        <v>0.4074</v>
      </c>
      <c r="K1113" s="24" t="n">
        <v>0</v>
      </c>
      <c r="L1113" s="4" t="n">
        <v>40</v>
      </c>
      <c r="M1113" s="4" t="inlineStr">
        <is>
          <t>media</t>
        </is>
      </c>
      <c r="N1113" s="4" t="inlineStr">
        <is>
          <t>por encima de comparables</t>
        </is>
      </c>
      <c r="O1113" s="4" t="n"/>
    </row>
    <row r="1114">
      <c r="A1114" s="4" t="inlineStr">
        <is>
          <t>MD-0938</t>
        </is>
      </c>
      <c r="B1114" s="21" t="n">
        <v>46104</v>
      </c>
      <c r="C1114" s="4" t="inlineStr">
        <is>
          <t>Salamanca</t>
        </is>
      </c>
      <c r="D1114" s="4" t="n">
        <v>101</v>
      </c>
      <c r="E1114" s="4" t="inlineStr">
        <is>
          <t>buen estado</t>
        </is>
      </c>
      <c r="F1114" s="22" t="n">
        <v>1165000</v>
      </c>
      <c r="G1114" s="23" t="n">
        <v>11534.65</v>
      </c>
      <c r="H1114" s="22" t="n">
        <v>931260</v>
      </c>
      <c r="I1114" s="23" t="n">
        <v>9220.4</v>
      </c>
      <c r="J1114" s="18" t="n">
        <v>0.251</v>
      </c>
      <c r="K1114" s="24" t="n">
        <v>0</v>
      </c>
      <c r="L1114" s="4" t="n">
        <v>10</v>
      </c>
      <c r="M1114" s="4" t="inlineStr">
        <is>
          <t>media</t>
        </is>
      </c>
      <c r="N1114" s="4" t="inlineStr">
        <is>
          <t>por encima de comparables</t>
        </is>
      </c>
      <c r="O1114" s="4" t="n"/>
    </row>
    <row r="1115">
      <c r="A1115" s="4" t="inlineStr">
        <is>
          <t>MD-0851</t>
        </is>
      </c>
      <c r="B1115" s="21" t="n">
        <v>46104</v>
      </c>
      <c r="C1115" s="4" t="inlineStr">
        <is>
          <t>Centro</t>
        </is>
      </c>
      <c r="D1115" s="4" t="n">
        <v>99</v>
      </c>
      <c r="E1115" s="4" t="inlineStr">
        <is>
          <t>reformado</t>
        </is>
      </c>
      <c r="F1115" s="22" t="n">
        <v>793000</v>
      </c>
      <c r="G1115" s="23" t="n">
        <v>8010.1</v>
      </c>
      <c r="H1115" s="22" t="n">
        <v>830196</v>
      </c>
      <c r="I1115" s="23" t="n">
        <v>8385.82</v>
      </c>
      <c r="J1115" s="18" t="n">
        <v>-0.0448</v>
      </c>
      <c r="K1115" s="24" t="n">
        <v>61.2</v>
      </c>
      <c r="L1115" s="4" t="n">
        <v>13</v>
      </c>
      <c r="M1115" s="4" t="inlineStr">
        <is>
          <t>media</t>
        </is>
      </c>
      <c r="N1115" s="4" t="inlineStr">
        <is>
          <t>en linea con comparables</t>
        </is>
      </c>
      <c r="O1115" s="4" t="n"/>
    </row>
    <row r="1116">
      <c r="A1116" s="4" t="inlineStr">
        <is>
          <t>MD-0324</t>
        </is>
      </c>
      <c r="B1116" s="21" t="n">
        <v>46104</v>
      </c>
      <c r="C1116" s="4" t="inlineStr">
        <is>
          <t>Centro</t>
        </is>
      </c>
      <c r="D1116" s="4" t="n">
        <v>61</v>
      </c>
      <c r="E1116" s="4" t="inlineStr">
        <is>
          <t>a reformar</t>
        </is>
      </c>
      <c r="F1116" s="22" t="n">
        <v>455000</v>
      </c>
      <c r="G1116" s="23" t="n">
        <v>7459.02</v>
      </c>
      <c r="H1116" s="22" t="n">
        <v>375445</v>
      </c>
      <c r="I1116" s="23" t="n">
        <v>6154.84</v>
      </c>
      <c r="J1116" s="18" t="n">
        <v>0.2119</v>
      </c>
      <c r="K1116" s="24" t="n">
        <v>0</v>
      </c>
      <c r="L1116" s="4" t="n">
        <v>21</v>
      </c>
      <c r="M1116" s="4" t="inlineStr">
        <is>
          <t>alta</t>
        </is>
      </c>
      <c r="N1116" s="4" t="inlineStr">
        <is>
          <t>por encima de comparables</t>
        </is>
      </c>
      <c r="O1116" s="4" t="n"/>
    </row>
    <row r="1117">
      <c r="A1117" s="4" t="inlineStr">
        <is>
          <t>MD-0309</t>
        </is>
      </c>
      <c r="B1117" s="21" t="n">
        <v>46105</v>
      </c>
      <c r="C1117" s="4" t="inlineStr">
        <is>
          <t>Puente de Vallecas</t>
        </is>
      </c>
      <c r="D1117" s="4" t="n">
        <v>58</v>
      </c>
      <c r="E1117" s="4" t="inlineStr">
        <is>
          <t>buen estado</t>
        </is>
      </c>
      <c r="F1117" s="22" t="n">
        <v>190000</v>
      </c>
      <c r="G1117" s="23" t="n">
        <v>3275.86</v>
      </c>
      <c r="H1117" s="22" t="n">
        <v>125968</v>
      </c>
      <c r="I1117" s="23" t="n">
        <v>2171.87</v>
      </c>
      <c r="J1117" s="18" t="n">
        <v>0.5083</v>
      </c>
      <c r="K1117" s="24" t="n">
        <v>0</v>
      </c>
      <c r="L1117" s="4" t="n">
        <v>33</v>
      </c>
      <c r="M1117" s="4" t="inlineStr">
        <is>
          <t>media</t>
        </is>
      </c>
      <c r="N1117" s="4" t="inlineStr">
        <is>
          <t>por encima de comparables</t>
        </is>
      </c>
      <c r="O1117" s="4" t="n"/>
    </row>
    <row r="1118">
      <c r="A1118" s="4" t="inlineStr">
        <is>
          <t>MD-0378</t>
        </is>
      </c>
      <c r="B1118" s="21" t="n">
        <v>46105</v>
      </c>
      <c r="C1118" s="4" t="inlineStr">
        <is>
          <t>Chamartin</t>
        </is>
      </c>
      <c r="D1118" s="4" t="n">
        <v>130</v>
      </c>
      <c r="E1118" s="4" t="inlineStr">
        <is>
          <t>buen estado</t>
        </is>
      </c>
      <c r="F1118" s="22" t="n">
        <v>76000</v>
      </c>
      <c r="G1118" s="23" t="n">
        <v>584.62</v>
      </c>
      <c r="H1118" s="22" t="n">
        <v>1031740</v>
      </c>
      <c r="I1118" s="23" t="n">
        <v>7936.46</v>
      </c>
      <c r="J1118" s="18" t="n">
        <v>-0.9263</v>
      </c>
      <c r="K1118" s="24" t="n">
        <v>100</v>
      </c>
      <c r="L1118" s="4" t="n">
        <v>14</v>
      </c>
      <c r="M1118" s="4" t="inlineStr">
        <is>
          <t>media</t>
        </is>
      </c>
      <c r="N1118" s="4" t="inlineStr">
        <is>
          <t>por debajo de comparables</t>
        </is>
      </c>
      <c r="O1118" s="4" t="n"/>
    </row>
    <row r="1119">
      <c r="A1119" s="4" t="inlineStr">
        <is>
          <t>MD-1593</t>
        </is>
      </c>
      <c r="B1119" s="21" t="n">
        <v>46105</v>
      </c>
      <c r="C1119" s="4" t="inlineStr">
        <is>
          <t>Moncloa-Aravaca</t>
        </is>
      </c>
      <c r="D1119" s="4" t="n">
        <v>63</v>
      </c>
      <c r="E1119" s="4" t="inlineStr">
        <is>
          <t>buen estado</t>
        </is>
      </c>
      <c r="F1119" s="22" t="n">
        <v>368000</v>
      </c>
      <c r="G1119" s="23" t="n">
        <v>5841.27</v>
      </c>
      <c r="H1119" s="22" t="n"/>
      <c r="I1119" s="23" t="n"/>
      <c r="J1119" s="18" t="n"/>
      <c r="K1119" s="24" t="n"/>
      <c r="L1119" s="4" t="n">
        <v>4</v>
      </c>
      <c r="M1119" s="4" t="inlineStr">
        <is>
          <t>sin muestra</t>
        </is>
      </c>
      <c r="N1119" s="4" t="inlineStr">
        <is>
          <t>no valorable</t>
        </is>
      </c>
      <c r="O1119" s="4" t="inlineStr">
        <is>
          <t>segmento con pocas operaciones comparables</t>
        </is>
      </c>
    </row>
    <row r="1120">
      <c r="A1120" s="4" t="inlineStr">
        <is>
          <t>MD-1145</t>
        </is>
      </c>
      <c r="B1120" s="21" t="n">
        <v>46105</v>
      </c>
      <c r="C1120" s="4" t="inlineStr">
        <is>
          <t>Chamberi</t>
        </is>
      </c>
      <c r="D1120" s="4" t="n">
        <v>70</v>
      </c>
      <c r="E1120" s="4" t="inlineStr">
        <is>
          <t>buen estado</t>
        </is>
      </c>
      <c r="F1120" s="22" t="n">
        <v>405000</v>
      </c>
      <c r="G1120" s="23" t="n">
        <v>5785.71</v>
      </c>
      <c r="H1120" s="22" t="n">
        <v>528625</v>
      </c>
      <c r="I1120" s="23" t="n">
        <v>7551.78</v>
      </c>
      <c r="J1120" s="18" t="n">
        <v>-0.2339</v>
      </c>
      <c r="K1120" s="24" t="n">
        <v>100</v>
      </c>
      <c r="L1120" s="4" t="n">
        <v>10</v>
      </c>
      <c r="M1120" s="4" t="inlineStr">
        <is>
          <t>media</t>
        </is>
      </c>
      <c r="N1120" s="4" t="inlineStr">
        <is>
          <t>por debajo de comparables</t>
        </is>
      </c>
      <c r="O1120" s="4" t="n"/>
    </row>
    <row r="1121">
      <c r="A1121" s="4" t="inlineStr">
        <is>
          <t>MD-1708</t>
        </is>
      </c>
      <c r="B1121" s="21" t="n">
        <v>46105</v>
      </c>
      <c r="C1121" s="4" t="inlineStr">
        <is>
          <t>Arganzuela</t>
        </is>
      </c>
      <c r="D1121" s="4" t="n">
        <v>54</v>
      </c>
      <c r="E1121" s="4" t="inlineStr">
        <is>
          <t>buen estado</t>
        </is>
      </c>
      <c r="F1121" s="22" t="n">
        <v>278000</v>
      </c>
      <c r="G1121" s="23" t="n">
        <v>5148.15</v>
      </c>
      <c r="H1121" s="22" t="n">
        <v>345036</v>
      </c>
      <c r="I1121" s="23" t="n">
        <v>6389.56</v>
      </c>
      <c r="J1121" s="18" t="n">
        <v>-0.1943</v>
      </c>
      <c r="K1121" s="24" t="n">
        <v>98.59999999999999</v>
      </c>
      <c r="L1121" s="4" t="n">
        <v>14</v>
      </c>
      <c r="M1121" s="4" t="inlineStr">
        <is>
          <t>media</t>
        </is>
      </c>
      <c r="N1121" s="4" t="inlineStr">
        <is>
          <t>por debajo de comparables</t>
        </is>
      </c>
      <c r="O1121" s="4" t="n"/>
    </row>
    <row r="1122">
      <c r="A1122" s="4" t="inlineStr">
        <is>
          <t>MD-1939</t>
        </is>
      </c>
      <c r="B1122" s="21" t="n">
        <v>46106</v>
      </c>
      <c r="C1122" s="4" t="inlineStr">
        <is>
          <t>Retiro</t>
        </is>
      </c>
      <c r="D1122" s="4" t="n">
        <v>40</v>
      </c>
      <c r="E1122" s="4" t="inlineStr">
        <is>
          <t>obra nueva</t>
        </is>
      </c>
      <c r="F1122" s="22" t="n">
        <v>330000</v>
      </c>
      <c r="G1122" s="23" t="n">
        <v>8250</v>
      </c>
      <c r="H1122" s="22" t="n">
        <v>281685</v>
      </c>
      <c r="I1122" s="23" t="n">
        <v>7042.12</v>
      </c>
      <c r="J1122" s="18" t="n">
        <v>0.1715</v>
      </c>
      <c r="K1122" s="24" t="n">
        <v>7.1</v>
      </c>
      <c r="L1122" s="4" t="n">
        <v>6</v>
      </c>
      <c r="M1122" s="4" t="inlineStr">
        <is>
          <t>baja</t>
        </is>
      </c>
      <c r="N1122" s="4" t="inlineStr">
        <is>
          <t>por encima de comparables</t>
        </is>
      </c>
      <c r="O1122" s="4" t="n"/>
    </row>
    <row r="1123">
      <c r="A1123" s="4" t="inlineStr">
        <is>
          <t>MD-0917</t>
        </is>
      </c>
      <c r="B1123" s="21" t="n">
        <v>46106</v>
      </c>
      <c r="C1123" s="4" t="inlineStr">
        <is>
          <t>Hortaleza</t>
        </is>
      </c>
      <c r="D1123" s="4" t="n">
        <v>84</v>
      </c>
      <c r="E1123" s="4" t="inlineStr">
        <is>
          <t>buen estado</t>
        </is>
      </c>
      <c r="F1123" s="22" t="n">
        <v>548000</v>
      </c>
      <c r="G1123" s="23" t="n">
        <v>6523.81</v>
      </c>
      <c r="H1123" s="22" t="n">
        <v>441241</v>
      </c>
      <c r="I1123" s="23" t="n">
        <v>5252.87</v>
      </c>
      <c r="J1123" s="18" t="n">
        <v>0.242</v>
      </c>
      <c r="K1123" s="24" t="n">
        <v>0</v>
      </c>
      <c r="L1123" s="4" t="n">
        <v>23</v>
      </c>
      <c r="M1123" s="4" t="inlineStr">
        <is>
          <t>media</t>
        </is>
      </c>
      <c r="N1123" s="4" t="inlineStr">
        <is>
          <t>por encima de comparables</t>
        </is>
      </c>
      <c r="O1123" s="4" t="n"/>
    </row>
    <row r="1124">
      <c r="A1124" s="4" t="inlineStr">
        <is>
          <t>MD-0485</t>
        </is>
      </c>
      <c r="B1124" s="21" t="n">
        <v>46106</v>
      </c>
      <c r="C1124" s="4" t="inlineStr">
        <is>
          <t>Hortaleza</t>
        </is>
      </c>
      <c r="D1124" s="4" t="n">
        <v>71</v>
      </c>
      <c r="E1124" s="4" t="inlineStr">
        <is>
          <t>buen estado</t>
        </is>
      </c>
      <c r="F1124" s="22" t="n">
        <v>350000</v>
      </c>
      <c r="G1124" s="23" t="n">
        <v>4929.58</v>
      </c>
      <c r="H1124" s="22" t="n">
        <v>356600</v>
      </c>
      <c r="I1124" s="23" t="n">
        <v>5022.54</v>
      </c>
      <c r="J1124" s="18" t="n">
        <v>-0.0185</v>
      </c>
      <c r="K1124" s="24" t="n">
        <v>54.6</v>
      </c>
      <c r="L1124" s="4" t="n">
        <v>19</v>
      </c>
      <c r="M1124" s="4" t="inlineStr">
        <is>
          <t>media</t>
        </is>
      </c>
      <c r="N1124" s="4" t="inlineStr">
        <is>
          <t>en linea con comparables</t>
        </is>
      </c>
      <c r="O1124" s="4" t="n"/>
    </row>
    <row r="1125">
      <c r="A1125" s="4" t="inlineStr">
        <is>
          <t>MD-1605</t>
        </is>
      </c>
      <c r="B1125" s="21" t="n">
        <v>46106</v>
      </c>
      <c r="C1125" s="4" t="inlineStr">
        <is>
          <t>Vicalvaro</t>
        </is>
      </c>
      <c r="D1125" s="4" t="n">
        <v>130</v>
      </c>
      <c r="E1125" s="4" t="inlineStr">
        <is>
          <t>reformado</t>
        </is>
      </c>
      <c r="F1125" s="22" t="n">
        <v>422000</v>
      </c>
      <c r="G1125" s="23" t="n">
        <v>3246.15</v>
      </c>
      <c r="H1125" s="22" t="n">
        <v>548795</v>
      </c>
      <c r="I1125" s="23" t="n">
        <v>4221.5</v>
      </c>
      <c r="J1125" s="18" t="n">
        <v>-0.231</v>
      </c>
      <c r="K1125" s="24" t="n">
        <v>100</v>
      </c>
      <c r="L1125" s="4" t="n">
        <v>7</v>
      </c>
      <c r="M1125" s="4" t="inlineStr">
        <is>
          <t>baja</t>
        </is>
      </c>
      <c r="N1125" s="4" t="inlineStr">
        <is>
          <t>por debajo de comparables</t>
        </is>
      </c>
      <c r="O1125" s="4" t="n"/>
    </row>
    <row r="1126">
      <c r="A1126" s="4" t="inlineStr">
        <is>
          <t>MD-0913</t>
        </is>
      </c>
      <c r="B1126" s="21" t="n">
        <v>46106</v>
      </c>
      <c r="C1126" s="4" t="inlineStr">
        <is>
          <t>Chamberi</t>
        </is>
      </c>
      <c r="D1126" s="4" t="n">
        <v>164</v>
      </c>
      <c r="E1126" s="4" t="inlineStr">
        <is>
          <t>reformado</t>
        </is>
      </c>
      <c r="F1126" s="22" t="n">
        <v>1421000</v>
      </c>
      <c r="G1126" s="23" t="n">
        <v>8664.629999999999</v>
      </c>
      <c r="H1126" s="22" t="n">
        <v>1201741</v>
      </c>
      <c r="I1126" s="23" t="n">
        <v>7327.69</v>
      </c>
      <c r="J1126" s="18" t="n">
        <v>0.1825</v>
      </c>
      <c r="K1126" s="24" t="n">
        <v>4.4</v>
      </c>
      <c r="L1126" s="4" t="n">
        <v>8</v>
      </c>
      <c r="M1126" s="4" t="inlineStr">
        <is>
          <t>baja</t>
        </is>
      </c>
      <c r="N1126" s="4" t="inlineStr">
        <is>
          <t>por encima de comparables</t>
        </is>
      </c>
      <c r="O1126" s="4" t="n"/>
    </row>
    <row r="1127">
      <c r="A1127" s="4" t="inlineStr">
        <is>
          <t>MD-0453</t>
        </is>
      </c>
      <c r="B1127" s="21" t="n">
        <v>46106</v>
      </c>
      <c r="C1127" s="4" t="inlineStr">
        <is>
          <t>Villaverde</t>
        </is>
      </c>
      <c r="D1127" s="4" t="n">
        <v>58</v>
      </c>
      <c r="E1127" s="4" t="inlineStr">
        <is>
          <t>buen estado</t>
        </is>
      </c>
      <c r="F1127" s="22" t="n">
        <v>142000</v>
      </c>
      <c r="G1127" s="23" t="n">
        <v>2448.28</v>
      </c>
      <c r="H1127" s="22" t="n">
        <v>105551</v>
      </c>
      <c r="I1127" s="23" t="n">
        <v>1819.85</v>
      </c>
      <c r="J1127" s="18" t="n">
        <v>0.3453</v>
      </c>
      <c r="K1127" s="24" t="n">
        <v>0</v>
      </c>
      <c r="L1127" s="4" t="n">
        <v>6</v>
      </c>
      <c r="M1127" s="4" t="inlineStr">
        <is>
          <t>baja</t>
        </is>
      </c>
      <c r="N1127" s="4" t="inlineStr">
        <is>
          <t>por encima de comparables</t>
        </is>
      </c>
      <c r="O1127" s="4" t="n"/>
    </row>
    <row r="1128">
      <c r="A1128" s="4" t="inlineStr">
        <is>
          <t>MD-1018</t>
        </is>
      </c>
      <c r="B1128" s="21" t="n">
        <v>46106</v>
      </c>
      <c r="C1128" s="4" t="inlineStr">
        <is>
          <t>Arganzuela</t>
        </is>
      </c>
      <c r="D1128" s="4" t="n">
        <v>74</v>
      </c>
      <c r="E1128" s="4" t="inlineStr">
        <is>
          <t>buen estado</t>
        </is>
      </c>
      <c r="F1128" s="22" t="n">
        <v>489000</v>
      </c>
      <c r="G1128" s="23" t="n">
        <v>6608.11</v>
      </c>
      <c r="H1128" s="22" t="n">
        <v>424077</v>
      </c>
      <c r="I1128" s="23" t="n">
        <v>5730.78</v>
      </c>
      <c r="J1128" s="18" t="n">
        <v>0.1531</v>
      </c>
      <c r="K1128" s="24" t="n">
        <v>11.7</v>
      </c>
      <c r="L1128" s="4" t="n">
        <v>18</v>
      </c>
      <c r="M1128" s="4" t="inlineStr">
        <is>
          <t>media</t>
        </is>
      </c>
      <c r="N1128" s="4" t="inlineStr">
        <is>
          <t>por encima de comparables</t>
        </is>
      </c>
      <c r="O1128" s="4" t="n"/>
    </row>
    <row r="1129">
      <c r="A1129" s="4" t="inlineStr">
        <is>
          <t>MD-1727</t>
        </is>
      </c>
      <c r="B1129" s="21" t="n">
        <v>46106</v>
      </c>
      <c r="C1129" s="4" t="inlineStr">
        <is>
          <t>Puente de Vallecas</t>
        </is>
      </c>
      <c r="D1129" s="4" t="n">
        <v>76</v>
      </c>
      <c r="E1129" s="4" t="inlineStr">
        <is>
          <t>buen estado</t>
        </is>
      </c>
      <c r="F1129" s="22" t="n">
        <v>178000</v>
      </c>
      <c r="G1129" s="23" t="n">
        <v>2342.11</v>
      </c>
      <c r="H1129" s="22" t="n">
        <v>195078</v>
      </c>
      <c r="I1129" s="23" t="n">
        <v>2566.81</v>
      </c>
      <c r="J1129" s="18" t="n">
        <v>-0.08749999999999999</v>
      </c>
      <c r="K1129" s="24" t="n">
        <v>71.90000000000001</v>
      </c>
      <c r="L1129" s="4" t="n">
        <v>36</v>
      </c>
      <c r="M1129" s="4" t="inlineStr">
        <is>
          <t>alta</t>
        </is>
      </c>
      <c r="N1129" s="4" t="inlineStr">
        <is>
          <t>en linea con comparables</t>
        </is>
      </c>
      <c r="O1129" s="4" t="n"/>
    </row>
    <row r="1130">
      <c r="A1130" s="4" t="inlineStr">
        <is>
          <t>MD-1587</t>
        </is>
      </c>
      <c r="B1130" s="21" t="n">
        <v>46106</v>
      </c>
      <c r="C1130" s="4" t="inlineStr">
        <is>
          <t>Fuencarral-El Pardo</t>
        </is>
      </c>
      <c r="D1130" s="4" t="n">
        <v>100</v>
      </c>
      <c r="E1130" s="4" t="inlineStr">
        <is>
          <t>reformado</t>
        </is>
      </c>
      <c r="F1130" s="22" t="n">
        <v>651000</v>
      </c>
      <c r="G1130" s="23" t="n">
        <v>6510</v>
      </c>
      <c r="H1130" s="22" t="n">
        <v>614163</v>
      </c>
      <c r="I1130" s="23" t="n">
        <v>6141.63</v>
      </c>
      <c r="J1130" s="18" t="n">
        <v>0.06</v>
      </c>
      <c r="K1130" s="24" t="n">
        <v>35</v>
      </c>
      <c r="L1130" s="4" t="n">
        <v>27</v>
      </c>
      <c r="M1130" s="4" t="inlineStr">
        <is>
          <t>alta</t>
        </is>
      </c>
      <c r="N1130" s="4" t="inlineStr">
        <is>
          <t>en linea con comparables</t>
        </is>
      </c>
      <c r="O1130" s="4" t="n"/>
    </row>
    <row r="1131">
      <c r="A1131" s="4" t="inlineStr">
        <is>
          <t>MD-1039</t>
        </is>
      </c>
      <c r="B1131" s="21" t="n">
        <v>46107</v>
      </c>
      <c r="C1131" s="4" t="inlineStr">
        <is>
          <t>Vicalvaro</t>
        </is>
      </c>
      <c r="D1131" s="4" t="n">
        <v>136</v>
      </c>
      <c r="E1131" s="4" t="inlineStr">
        <is>
          <t>buen estado</t>
        </is>
      </c>
      <c r="F1131" s="22" t="n">
        <v>462000</v>
      </c>
      <c r="G1131" s="23" t="n">
        <v>3397.06</v>
      </c>
      <c r="H1131" s="22" t="n">
        <v>472567</v>
      </c>
      <c r="I1131" s="23" t="n">
        <v>3474.75</v>
      </c>
      <c r="J1131" s="18" t="n">
        <v>-0.0224</v>
      </c>
      <c r="K1131" s="24" t="n">
        <v>55.6</v>
      </c>
      <c r="L1131" s="4" t="n">
        <v>10</v>
      </c>
      <c r="M1131" s="4" t="inlineStr">
        <is>
          <t>media</t>
        </is>
      </c>
      <c r="N1131" s="4" t="inlineStr">
        <is>
          <t>en linea con comparables</t>
        </is>
      </c>
      <c r="O1131" s="4" t="n"/>
    </row>
    <row r="1132">
      <c r="A1132" s="4" t="inlineStr">
        <is>
          <t>MD-0321</t>
        </is>
      </c>
      <c r="B1132" s="21" t="n">
        <v>46107</v>
      </c>
      <c r="C1132" s="4" t="inlineStr">
        <is>
          <t>Chamartin</t>
        </is>
      </c>
      <c r="D1132" s="4" t="n">
        <v>90</v>
      </c>
      <c r="E1132" s="4" t="inlineStr">
        <is>
          <t>buen estado</t>
        </is>
      </c>
      <c r="F1132" s="22" t="n">
        <v>620000</v>
      </c>
      <c r="G1132" s="23" t="n">
        <v>6888.89</v>
      </c>
      <c r="H1132" s="22" t="n">
        <v>655581</v>
      </c>
      <c r="I1132" s="23" t="n">
        <v>7284.23</v>
      </c>
      <c r="J1132" s="18" t="n">
        <v>-0.0543</v>
      </c>
      <c r="K1132" s="24" t="n">
        <v>63.6</v>
      </c>
      <c r="L1132" s="4" t="n">
        <v>23</v>
      </c>
      <c r="M1132" s="4" t="inlineStr">
        <is>
          <t>alta</t>
        </is>
      </c>
      <c r="N1132" s="4" t="inlineStr">
        <is>
          <t>en linea con comparables</t>
        </is>
      </c>
      <c r="O1132" s="4" t="n"/>
    </row>
    <row r="1133">
      <c r="A1133" s="4" t="inlineStr">
        <is>
          <t>MD-1932</t>
        </is>
      </c>
      <c r="B1133" s="21" t="n">
        <v>46107</v>
      </c>
      <c r="C1133" s="4" t="inlineStr">
        <is>
          <t>Ciudad Lineal</t>
        </is>
      </c>
      <c r="D1133" s="4" t="n">
        <v>76</v>
      </c>
      <c r="E1133" s="4" t="inlineStr">
        <is>
          <t>a reformar</t>
        </is>
      </c>
      <c r="F1133" s="22" t="n">
        <v>355000</v>
      </c>
      <c r="G1133" s="23" t="n">
        <v>4671.05</v>
      </c>
      <c r="H1133" s="22" t="n">
        <v>332297</v>
      </c>
      <c r="I1133" s="23" t="n">
        <v>4372.33</v>
      </c>
      <c r="J1133" s="18" t="n">
        <v>0.0683</v>
      </c>
      <c r="K1133" s="24" t="n">
        <v>32.9</v>
      </c>
      <c r="L1133" s="4" t="n">
        <v>22</v>
      </c>
      <c r="M1133" s="4" t="inlineStr">
        <is>
          <t>media</t>
        </is>
      </c>
      <c r="N1133" s="4" t="inlineStr">
        <is>
          <t>en linea con comparables</t>
        </is>
      </c>
      <c r="O1133" s="4" t="n"/>
    </row>
    <row r="1134">
      <c r="A1134" s="4" t="inlineStr">
        <is>
          <t>MD-1057</t>
        </is>
      </c>
      <c r="B1134" s="21" t="n">
        <v>46107</v>
      </c>
      <c r="C1134" s="4" t="inlineStr">
        <is>
          <t>Salamanca</t>
        </is>
      </c>
      <c r="D1134" s="4" t="n">
        <v>175</v>
      </c>
      <c r="E1134" s="4" t="inlineStr">
        <is>
          <t>buen estado</t>
        </is>
      </c>
      <c r="F1134" s="22" t="n">
        <v>1295000</v>
      </c>
      <c r="G1134" s="23" t="n">
        <v>7400</v>
      </c>
      <c r="H1134" s="22" t="n">
        <v>1452594</v>
      </c>
      <c r="I1134" s="23" t="n">
        <v>8300.540000000001</v>
      </c>
      <c r="J1134" s="18" t="n">
        <v>-0.1085</v>
      </c>
      <c r="K1134" s="24" t="n">
        <v>77.09999999999999</v>
      </c>
      <c r="L1134" s="4" t="n">
        <v>12</v>
      </c>
      <c r="M1134" s="4" t="inlineStr">
        <is>
          <t>media</t>
        </is>
      </c>
      <c r="N1134" s="4" t="inlineStr">
        <is>
          <t>por debajo de comparables</t>
        </is>
      </c>
      <c r="O1134" s="4" t="n"/>
    </row>
    <row r="1135">
      <c r="A1135" s="4" t="inlineStr">
        <is>
          <t>MD-0987</t>
        </is>
      </c>
      <c r="B1135" s="21" t="n">
        <v>46107</v>
      </c>
      <c r="C1135" s="4" t="inlineStr">
        <is>
          <t>Barajas</t>
        </is>
      </c>
      <c r="D1135" s="4" t="n">
        <v>60</v>
      </c>
      <c r="E1135" s="4" t="inlineStr">
        <is>
          <t>buen estado</t>
        </is>
      </c>
      <c r="F1135" s="22" t="n">
        <v>225000</v>
      </c>
      <c r="G1135" s="23" t="n">
        <v>3750</v>
      </c>
      <c r="H1135" s="22" t="n"/>
      <c r="I1135" s="23" t="n"/>
      <c r="J1135" s="18" t="n"/>
      <c r="K1135" s="24" t="n"/>
      <c r="L1135" s="4" t="n">
        <v>3</v>
      </c>
      <c r="M1135" s="4" t="inlineStr">
        <is>
          <t>sin muestra</t>
        </is>
      </c>
      <c r="N1135" s="4" t="inlineStr">
        <is>
          <t>no valorable</t>
        </is>
      </c>
      <c r="O1135" s="4" t="inlineStr">
        <is>
          <t>segmento con pocas operaciones comparables</t>
        </is>
      </c>
    </row>
    <row r="1136">
      <c r="A1136" s="4" t="inlineStr">
        <is>
          <t>MD-0565</t>
        </is>
      </c>
      <c r="B1136" s="21" t="n">
        <v>46107</v>
      </c>
      <c r="C1136" s="4" t="inlineStr">
        <is>
          <t>Moratalaz</t>
        </is>
      </c>
      <c r="D1136" s="4" t="n">
        <v>85</v>
      </c>
      <c r="E1136" s="4" t="inlineStr">
        <is>
          <t>reformado</t>
        </is>
      </c>
      <c r="F1136" s="22" t="n">
        <v>375000</v>
      </c>
      <c r="G1136" s="23" t="n">
        <v>4411.76</v>
      </c>
      <c r="H1136" s="22" t="n">
        <v>303026</v>
      </c>
      <c r="I1136" s="23" t="n">
        <v>3565.01</v>
      </c>
      <c r="J1136" s="18" t="n">
        <v>0.2375</v>
      </c>
      <c r="K1136" s="24" t="n">
        <v>0</v>
      </c>
      <c r="L1136" s="4" t="n">
        <v>13</v>
      </c>
      <c r="M1136" s="4" t="inlineStr">
        <is>
          <t>media</t>
        </is>
      </c>
      <c r="N1136" s="4" t="inlineStr">
        <is>
          <t>por encima de comparables</t>
        </is>
      </c>
      <c r="O1136" s="4" t="n"/>
    </row>
    <row r="1137">
      <c r="A1137" s="4" t="inlineStr">
        <is>
          <t>MD-1306</t>
        </is>
      </c>
      <c r="B1137" s="21" t="n">
        <v>46107</v>
      </c>
      <c r="C1137" s="4" t="inlineStr">
        <is>
          <t>Chamartin</t>
        </is>
      </c>
      <c r="D1137" s="4" t="n">
        <v>99</v>
      </c>
      <c r="E1137" s="4" t="inlineStr">
        <is>
          <t>buen estado</t>
        </is>
      </c>
      <c r="F1137" s="22" t="n">
        <v>700000</v>
      </c>
      <c r="G1137" s="23" t="n">
        <v>7070.71</v>
      </c>
      <c r="H1137" s="22" t="n">
        <v>817091</v>
      </c>
      <c r="I1137" s="23" t="n">
        <v>8253.440000000001</v>
      </c>
      <c r="J1137" s="18" t="n">
        <v>-0.1433</v>
      </c>
      <c r="K1137" s="24" t="n">
        <v>85.8</v>
      </c>
      <c r="L1137" s="4" t="n">
        <v>21</v>
      </c>
      <c r="M1137" s="4" t="inlineStr">
        <is>
          <t>alta</t>
        </is>
      </c>
      <c r="N1137" s="4" t="inlineStr">
        <is>
          <t>por debajo de comparables</t>
        </is>
      </c>
      <c r="O1137" s="4" t="n"/>
    </row>
    <row r="1138">
      <c r="A1138" s="4" t="inlineStr">
        <is>
          <t>MD-1295</t>
        </is>
      </c>
      <c r="B1138" s="21" t="n">
        <v>46107</v>
      </c>
      <c r="C1138" s="4" t="inlineStr">
        <is>
          <t>Fuencarral-El Pardo</t>
        </is>
      </c>
      <c r="D1138" s="4" t="n">
        <v>150</v>
      </c>
      <c r="E1138" s="4" t="inlineStr">
        <is>
          <t>reformado</t>
        </is>
      </c>
      <c r="F1138" s="22" t="n">
        <v>1251000</v>
      </c>
      <c r="G1138" s="23" t="n">
        <v>8340</v>
      </c>
      <c r="H1138" s="22" t="n">
        <v>895488</v>
      </c>
      <c r="I1138" s="23" t="n">
        <v>5969.92</v>
      </c>
      <c r="J1138" s="18" t="n">
        <v>0.397</v>
      </c>
      <c r="K1138" s="24" t="n">
        <v>0</v>
      </c>
      <c r="L1138" s="4" t="n">
        <v>18</v>
      </c>
      <c r="M1138" s="4" t="inlineStr">
        <is>
          <t>baja</t>
        </is>
      </c>
      <c r="N1138" s="4" t="inlineStr">
        <is>
          <t>por encima de comparables</t>
        </is>
      </c>
      <c r="O1138" s="4" t="n"/>
    </row>
    <row r="1139">
      <c r="A1139" s="4" t="inlineStr">
        <is>
          <t>MD-0093</t>
        </is>
      </c>
      <c r="B1139" s="21" t="n">
        <v>46107</v>
      </c>
      <c r="C1139" s="4" t="inlineStr">
        <is>
          <t>Carabanchel</t>
        </is>
      </c>
      <c r="D1139" s="4" t="n">
        <v>79</v>
      </c>
      <c r="E1139" s="4" t="inlineStr">
        <is>
          <t>a reformar</t>
        </is>
      </c>
      <c r="F1139" s="22" t="n">
        <v>251000</v>
      </c>
      <c r="G1139" s="23" t="n">
        <v>3177.22</v>
      </c>
      <c r="H1139" s="22" t="n">
        <v>225019</v>
      </c>
      <c r="I1139" s="23" t="n">
        <v>2848.34</v>
      </c>
      <c r="J1139" s="18" t="n">
        <v>0.1155</v>
      </c>
      <c r="K1139" s="24" t="n">
        <v>21.1</v>
      </c>
      <c r="L1139" s="4" t="n">
        <v>31</v>
      </c>
      <c r="M1139" s="4" t="inlineStr">
        <is>
          <t>media</t>
        </is>
      </c>
      <c r="N1139" s="4" t="inlineStr">
        <is>
          <t>por encima de comparables</t>
        </is>
      </c>
      <c r="O1139" s="4" t="n"/>
    </row>
    <row r="1140">
      <c r="A1140" s="4" t="inlineStr">
        <is>
          <t>MD-1361</t>
        </is>
      </c>
      <c r="B1140" s="21" t="n">
        <v>46108</v>
      </c>
      <c r="C1140" s="4" t="inlineStr">
        <is>
          <t>San Blas-Canillejas</t>
        </is>
      </c>
      <c r="D1140" s="4" t="n">
        <v>70</v>
      </c>
      <c r="E1140" s="4" t="inlineStr">
        <is>
          <t>buen estado</t>
        </is>
      </c>
      <c r="F1140" s="22" t="n">
        <v>269000</v>
      </c>
      <c r="G1140" s="23" t="n">
        <v>3842.86</v>
      </c>
      <c r="H1140" s="22" t="n">
        <v>238507</v>
      </c>
      <c r="I1140" s="23" t="n">
        <v>3407.24</v>
      </c>
      <c r="J1140" s="18" t="n">
        <v>0.1278</v>
      </c>
      <c r="K1140" s="24" t="n">
        <v>18</v>
      </c>
      <c r="L1140" s="4" t="n">
        <v>16</v>
      </c>
      <c r="M1140" s="4" t="inlineStr">
        <is>
          <t>alta</t>
        </is>
      </c>
      <c r="N1140" s="4" t="inlineStr">
        <is>
          <t>por encima de comparables</t>
        </is>
      </c>
      <c r="O1140" s="4" t="n"/>
    </row>
    <row r="1141">
      <c r="A1141" s="4" t="inlineStr">
        <is>
          <t>MD-0792</t>
        </is>
      </c>
      <c r="B1141" s="21" t="n">
        <v>46108</v>
      </c>
      <c r="C1141" s="4" t="inlineStr">
        <is>
          <t>Latina</t>
        </is>
      </c>
      <c r="D1141" s="4" t="n">
        <v>80</v>
      </c>
      <c r="E1141" s="4" t="inlineStr">
        <is>
          <t>reformado</t>
        </is>
      </c>
      <c r="F1141" s="22" t="n">
        <v>282000</v>
      </c>
      <c r="G1141" s="23" t="n">
        <v>3525</v>
      </c>
      <c r="H1141" s="22" t="n">
        <v>284335</v>
      </c>
      <c r="I1141" s="23" t="n">
        <v>3554.19</v>
      </c>
      <c r="J1141" s="18" t="n">
        <v>-0.008200000000000001</v>
      </c>
      <c r="K1141" s="24" t="n">
        <v>52.1</v>
      </c>
      <c r="L1141" s="4" t="n">
        <v>36</v>
      </c>
      <c r="M1141" s="4" t="inlineStr">
        <is>
          <t>media</t>
        </is>
      </c>
      <c r="N1141" s="4" t="inlineStr">
        <is>
          <t>en linea con comparables</t>
        </is>
      </c>
      <c r="O1141" s="4" t="n"/>
    </row>
    <row r="1142">
      <c r="A1142" s="4" t="inlineStr">
        <is>
          <t>MD-1047</t>
        </is>
      </c>
      <c r="B1142" s="21" t="n">
        <v>46108</v>
      </c>
      <c r="C1142" s="4" t="inlineStr">
        <is>
          <t>Puente de Vallecas</t>
        </is>
      </c>
      <c r="D1142" s="4" t="n">
        <v>81</v>
      </c>
      <c r="E1142" s="4" t="inlineStr">
        <is>
          <t>buen estado</t>
        </is>
      </c>
      <c r="F1142" s="22" t="n">
        <v>255000</v>
      </c>
      <c r="G1142" s="23" t="n">
        <v>3148.15</v>
      </c>
      <c r="H1142" s="22" t="n">
        <v>235152</v>
      </c>
      <c r="I1142" s="23" t="n">
        <v>2903.11</v>
      </c>
      <c r="J1142" s="18" t="n">
        <v>0.0844</v>
      </c>
      <c r="K1142" s="24" t="n">
        <v>28.9</v>
      </c>
      <c r="L1142" s="4" t="n">
        <v>33</v>
      </c>
      <c r="M1142" s="4" t="inlineStr">
        <is>
          <t>alta</t>
        </is>
      </c>
      <c r="N1142" s="4" t="inlineStr">
        <is>
          <t>en linea con comparables</t>
        </is>
      </c>
      <c r="O1142" s="4" t="n"/>
    </row>
    <row r="1143">
      <c r="A1143" s="4" t="inlineStr">
        <is>
          <t>MD-1106</t>
        </is>
      </c>
      <c r="B1143" s="21" t="n">
        <v>46108</v>
      </c>
      <c r="C1143" s="4" t="inlineStr">
        <is>
          <t>Puente de Vallecas</t>
        </is>
      </c>
      <c r="D1143" s="4" t="n">
        <v>46</v>
      </c>
      <c r="E1143" s="4" t="inlineStr">
        <is>
          <t>obra nueva</t>
        </is>
      </c>
      <c r="F1143" s="22" t="n">
        <v>130000</v>
      </c>
      <c r="G1143" s="23" t="n">
        <v>2826.09</v>
      </c>
      <c r="H1143" s="22" t="n">
        <v>130593</v>
      </c>
      <c r="I1143" s="23" t="n">
        <v>2838.97</v>
      </c>
      <c r="J1143" s="18" t="n">
        <v>-0.0045</v>
      </c>
      <c r="K1143" s="24" t="n">
        <v>51.1</v>
      </c>
      <c r="L1143" s="4" t="n">
        <v>34</v>
      </c>
      <c r="M1143" s="4" t="inlineStr">
        <is>
          <t>alta</t>
        </is>
      </c>
      <c r="N1143" s="4" t="inlineStr">
        <is>
          <t>en linea con comparables</t>
        </is>
      </c>
      <c r="O1143" s="4" t="n"/>
    </row>
    <row r="1144">
      <c r="A1144" s="4" t="inlineStr">
        <is>
          <t>MD-0749</t>
        </is>
      </c>
      <c r="B1144" s="21" t="n">
        <v>46108</v>
      </c>
      <c r="C1144" s="4" t="inlineStr">
        <is>
          <t>Barajas</t>
        </is>
      </c>
      <c r="D1144" s="4" t="n">
        <v>95</v>
      </c>
      <c r="E1144" s="4" t="inlineStr">
        <is>
          <t>obra nueva</t>
        </is>
      </c>
      <c r="F1144" s="22" t="n">
        <v>465000</v>
      </c>
      <c r="G1144" s="23" t="n">
        <v>4894.74</v>
      </c>
      <c r="H1144" s="22" t="n">
        <v>480689</v>
      </c>
      <c r="I1144" s="23" t="n">
        <v>5059.88</v>
      </c>
      <c r="J1144" s="18" t="n">
        <v>-0.0326</v>
      </c>
      <c r="K1144" s="24" t="n">
        <v>58.2</v>
      </c>
      <c r="L1144" s="4" t="n">
        <v>6</v>
      </c>
      <c r="M1144" s="4" t="inlineStr">
        <is>
          <t>baja</t>
        </is>
      </c>
      <c r="N1144" s="4" t="inlineStr">
        <is>
          <t>en linea con comparables</t>
        </is>
      </c>
      <c r="O1144" s="4" t="n"/>
    </row>
    <row r="1145">
      <c r="A1145" s="4" t="inlineStr">
        <is>
          <t>MD-0964</t>
        </is>
      </c>
      <c r="B1145" s="21" t="n">
        <v>46108</v>
      </c>
      <c r="C1145" s="4" t="inlineStr">
        <is>
          <t>Retiro</t>
        </is>
      </c>
      <c r="D1145" s="4" t="n">
        <v>103</v>
      </c>
      <c r="E1145" s="4" t="inlineStr">
        <is>
          <t>reformado</t>
        </is>
      </c>
      <c r="F1145" s="22" t="n">
        <v>802000</v>
      </c>
      <c r="G1145" s="23" t="n">
        <v>7786.41</v>
      </c>
      <c r="H1145" s="22" t="n">
        <v>755860</v>
      </c>
      <c r="I1145" s="23" t="n">
        <v>7338.44</v>
      </c>
      <c r="J1145" s="18" t="n">
        <v>0.061</v>
      </c>
      <c r="K1145" s="24" t="n">
        <v>34.7</v>
      </c>
      <c r="L1145" s="4" t="n">
        <v>7</v>
      </c>
      <c r="M1145" s="4" t="inlineStr">
        <is>
          <t>baja</t>
        </is>
      </c>
      <c r="N1145" s="4" t="inlineStr">
        <is>
          <t>en linea con comparables</t>
        </is>
      </c>
      <c r="O1145" s="4" t="n"/>
    </row>
    <row r="1146">
      <c r="A1146" s="4" t="inlineStr">
        <is>
          <t>MD-1846</t>
        </is>
      </c>
      <c r="B1146" s="21" t="n">
        <v>46108</v>
      </c>
      <c r="C1146" s="4" t="inlineStr">
        <is>
          <t>Hortaleza</t>
        </is>
      </c>
      <c r="D1146" s="4" t="n">
        <v>121</v>
      </c>
      <c r="E1146" s="4" t="inlineStr">
        <is>
          <t>obra nueva</t>
        </is>
      </c>
      <c r="F1146" s="22" t="n">
        <v>916000</v>
      </c>
      <c r="G1146" s="23" t="n">
        <v>7570.25</v>
      </c>
      <c r="H1146" s="22" t="n">
        <v>749080</v>
      </c>
      <c r="I1146" s="23" t="n">
        <v>6190.75</v>
      </c>
      <c r="J1146" s="18" t="n">
        <v>0.2228</v>
      </c>
      <c r="K1146" s="24" t="n">
        <v>0</v>
      </c>
      <c r="L1146" s="4" t="n">
        <v>22</v>
      </c>
      <c r="M1146" s="4" t="inlineStr">
        <is>
          <t>media</t>
        </is>
      </c>
      <c r="N1146" s="4" t="inlineStr">
        <is>
          <t>por encima de comparables</t>
        </is>
      </c>
      <c r="O1146" s="4" t="n"/>
    </row>
    <row r="1147">
      <c r="A1147" s="4" t="inlineStr">
        <is>
          <t>MD-0022</t>
        </is>
      </c>
      <c r="B1147" s="21" t="n">
        <v>46108</v>
      </c>
      <c r="C1147" s="4" t="inlineStr">
        <is>
          <t>San Blas-Canillejas</t>
        </is>
      </c>
      <c r="D1147" s="4" t="n">
        <v>100</v>
      </c>
      <c r="E1147" s="4" t="inlineStr">
        <is>
          <t>buen estado</t>
        </is>
      </c>
      <c r="F1147" s="22" t="n">
        <v>414000</v>
      </c>
      <c r="G1147" s="23" t="n">
        <v>4140</v>
      </c>
      <c r="H1147" s="22" t="n">
        <v>368497</v>
      </c>
      <c r="I1147" s="23" t="n">
        <v>3684.97</v>
      </c>
      <c r="J1147" s="18" t="n">
        <v>0.1235</v>
      </c>
      <c r="K1147" s="24" t="n">
        <v>19.1</v>
      </c>
      <c r="L1147" s="4" t="n">
        <v>19</v>
      </c>
      <c r="M1147" s="4" t="inlineStr">
        <is>
          <t>media</t>
        </is>
      </c>
      <c r="N1147" s="4" t="inlineStr">
        <is>
          <t>por encima de comparables</t>
        </is>
      </c>
      <c r="O1147" s="4" t="n"/>
    </row>
    <row r="1148">
      <c r="A1148" s="4" t="inlineStr">
        <is>
          <t>MD-0721</t>
        </is>
      </c>
      <c r="B1148" s="21" t="n">
        <v>46109</v>
      </c>
      <c r="C1148" s="4" t="inlineStr">
        <is>
          <t>Arganzuela</t>
        </is>
      </c>
      <c r="D1148" s="4" t="n">
        <v>73</v>
      </c>
      <c r="E1148" s="4" t="inlineStr">
        <is>
          <t>buen estado</t>
        </is>
      </c>
      <c r="F1148" s="22" t="n">
        <v>364000</v>
      </c>
      <c r="G1148" s="23" t="n">
        <v>4986.3</v>
      </c>
      <c r="H1148" s="22" t="n">
        <v>418347</v>
      </c>
      <c r="I1148" s="23" t="n">
        <v>5730.78</v>
      </c>
      <c r="J1148" s="18" t="n">
        <v>-0.1299</v>
      </c>
      <c r="K1148" s="24" t="n">
        <v>82.5</v>
      </c>
      <c r="L1148" s="4" t="n">
        <v>20</v>
      </c>
      <c r="M1148" s="4" t="inlineStr">
        <is>
          <t>media</t>
        </is>
      </c>
      <c r="N1148" s="4" t="inlineStr">
        <is>
          <t>por debajo de comparables</t>
        </is>
      </c>
      <c r="O1148" s="4" t="n"/>
    </row>
    <row r="1149">
      <c r="A1149" s="4" t="inlineStr">
        <is>
          <t>MD-1503</t>
        </is>
      </c>
      <c r="B1149" s="21" t="n">
        <v>46109</v>
      </c>
      <c r="C1149" s="4" t="inlineStr">
        <is>
          <t>Moratalaz</t>
        </is>
      </c>
      <c r="D1149" s="4" t="n">
        <v>96</v>
      </c>
      <c r="E1149" s="4" t="inlineStr">
        <is>
          <t>a reformar</t>
        </is>
      </c>
      <c r="F1149" s="22" t="n">
        <v>424000</v>
      </c>
      <c r="G1149" s="23" t="n">
        <v>4416.67</v>
      </c>
      <c r="H1149" s="22" t="n">
        <v>303049</v>
      </c>
      <c r="I1149" s="23" t="n">
        <v>3156.76</v>
      </c>
      <c r="J1149" s="18" t="n">
        <v>0.3991</v>
      </c>
      <c r="K1149" s="24" t="n">
        <v>0</v>
      </c>
      <c r="L1149" s="4" t="n">
        <v>12</v>
      </c>
      <c r="M1149" s="4" t="inlineStr">
        <is>
          <t>media</t>
        </is>
      </c>
      <c r="N1149" s="4" t="inlineStr">
        <is>
          <t>por encima de comparables</t>
        </is>
      </c>
      <c r="O1149" s="4" t="n"/>
    </row>
    <row r="1150">
      <c r="A1150" s="4" t="inlineStr">
        <is>
          <t>MD-0842</t>
        </is>
      </c>
      <c r="B1150" s="21" t="n">
        <v>46109</v>
      </c>
      <c r="C1150" s="4" t="inlineStr">
        <is>
          <t>Salamanca</t>
        </is>
      </c>
      <c r="D1150" s="4" t="n">
        <v>63</v>
      </c>
      <c r="E1150" s="4" t="inlineStr">
        <is>
          <t>obra nueva</t>
        </is>
      </c>
      <c r="F1150" s="22" t="n">
        <v>736000</v>
      </c>
      <c r="G1150" s="23" t="n">
        <v>11682.54</v>
      </c>
      <c r="H1150" s="22" t="n">
        <v>615240</v>
      </c>
      <c r="I1150" s="23" t="n">
        <v>9765.719999999999</v>
      </c>
      <c r="J1150" s="18" t="n">
        <v>0.1963</v>
      </c>
      <c r="K1150" s="24" t="n">
        <v>0.9</v>
      </c>
      <c r="L1150" s="4" t="n">
        <v>20</v>
      </c>
      <c r="M1150" s="4" t="inlineStr">
        <is>
          <t>alta</t>
        </is>
      </c>
      <c r="N1150" s="4" t="inlineStr">
        <is>
          <t>por encima de comparables</t>
        </is>
      </c>
      <c r="O1150" s="4" t="n"/>
    </row>
    <row r="1151">
      <c r="A1151" s="4" t="inlineStr">
        <is>
          <t>MD-0993</t>
        </is>
      </c>
      <c r="B1151" s="21" t="n">
        <v>46109</v>
      </c>
      <c r="C1151" s="4" t="inlineStr">
        <is>
          <t>Moratalaz</t>
        </is>
      </c>
      <c r="D1151" s="4" t="n">
        <v>93</v>
      </c>
      <c r="E1151" s="4" t="inlineStr">
        <is>
          <t>reformado</t>
        </is>
      </c>
      <c r="F1151" s="22" t="n">
        <v>343000</v>
      </c>
      <c r="G1151" s="23" t="n">
        <v>3688.17</v>
      </c>
      <c r="H1151" s="22" t="n">
        <v>288983</v>
      </c>
      <c r="I1151" s="23" t="n">
        <v>3107.34</v>
      </c>
      <c r="J1151" s="18" t="n">
        <v>0.1869</v>
      </c>
      <c r="K1151" s="24" t="n">
        <v>3.3</v>
      </c>
      <c r="L1151" s="4" t="n">
        <v>12</v>
      </c>
      <c r="M1151" s="4" t="inlineStr">
        <is>
          <t>media</t>
        </is>
      </c>
      <c r="N1151" s="4" t="inlineStr">
        <is>
          <t>por encima de comparables</t>
        </is>
      </c>
      <c r="O1151" s="4" t="n"/>
    </row>
    <row r="1152">
      <c r="A1152" s="4" t="inlineStr">
        <is>
          <t>MD-0811</t>
        </is>
      </c>
      <c r="B1152" s="21" t="n">
        <v>46109</v>
      </c>
      <c r="C1152" s="4" t="inlineStr">
        <is>
          <t>Latina</t>
        </is>
      </c>
      <c r="D1152" s="4" t="n">
        <v>40</v>
      </c>
      <c r="E1152" s="4" t="inlineStr">
        <is>
          <t>a reformar</t>
        </is>
      </c>
      <c r="F1152" s="22" t="n">
        <v>104000</v>
      </c>
      <c r="G1152" s="23" t="n">
        <v>2600</v>
      </c>
      <c r="H1152" s="22" t="n">
        <v>116099</v>
      </c>
      <c r="I1152" s="23" t="n">
        <v>2902.48</v>
      </c>
      <c r="J1152" s="18" t="n">
        <v>-0.1042</v>
      </c>
      <c r="K1152" s="24" t="n">
        <v>76.09999999999999</v>
      </c>
      <c r="L1152" s="4" t="n">
        <v>14</v>
      </c>
      <c r="M1152" s="4" t="inlineStr">
        <is>
          <t>media</t>
        </is>
      </c>
      <c r="N1152" s="4" t="inlineStr">
        <is>
          <t>por debajo de comparables</t>
        </is>
      </c>
      <c r="O1152" s="4" t="n"/>
    </row>
    <row r="1153">
      <c r="A1153" s="4" t="inlineStr">
        <is>
          <t>MD-1026</t>
        </is>
      </c>
      <c r="B1153" s="21" t="n">
        <v>46110</v>
      </c>
      <c r="C1153" s="4" t="inlineStr">
        <is>
          <t>Chamartin</t>
        </is>
      </c>
      <c r="D1153" s="4" t="n">
        <v>37</v>
      </c>
      <c r="E1153" s="4" t="inlineStr">
        <is>
          <t>buen estado</t>
        </is>
      </c>
      <c r="F1153" s="22" t="n">
        <v>314000</v>
      </c>
      <c r="G1153" s="23" t="n">
        <v>8486.49</v>
      </c>
      <c r="H1153" s="22" t="n">
        <v>272531</v>
      </c>
      <c r="I1153" s="23" t="n">
        <v>7365.7</v>
      </c>
      <c r="J1153" s="18" t="n">
        <v>0.1522</v>
      </c>
      <c r="K1153" s="24" t="n">
        <v>12</v>
      </c>
      <c r="L1153" s="4" t="n">
        <v>7</v>
      </c>
      <c r="M1153" s="4" t="inlineStr">
        <is>
          <t>baja</t>
        </is>
      </c>
      <c r="N1153" s="4" t="inlineStr">
        <is>
          <t>por encima de comparables</t>
        </is>
      </c>
      <c r="O1153" s="4" t="n"/>
    </row>
    <row r="1154">
      <c r="A1154" s="4" t="inlineStr">
        <is>
          <t>MD-0422</t>
        </is>
      </c>
      <c r="B1154" s="21" t="n">
        <v>46110</v>
      </c>
      <c r="C1154" s="4" t="inlineStr">
        <is>
          <t>Ciudad Lineal</t>
        </is>
      </c>
      <c r="D1154" s="4" t="n">
        <v>51</v>
      </c>
      <c r="E1154" s="4" t="inlineStr">
        <is>
          <t>obra nueva</t>
        </is>
      </c>
      <c r="F1154" s="22" t="n">
        <v>268000</v>
      </c>
      <c r="G1154" s="23" t="n">
        <v>5254.9</v>
      </c>
      <c r="H1154" s="22" t="n">
        <v>255455</v>
      </c>
      <c r="I1154" s="23" t="n">
        <v>5008.92</v>
      </c>
      <c r="J1154" s="18" t="n">
        <v>0.0491</v>
      </c>
      <c r="K1154" s="24" t="n">
        <v>37.7</v>
      </c>
      <c r="L1154" s="4" t="n">
        <v>24</v>
      </c>
      <c r="M1154" s="4" t="inlineStr">
        <is>
          <t>alta</t>
        </is>
      </c>
      <c r="N1154" s="4" t="inlineStr">
        <is>
          <t>en linea con comparables</t>
        </is>
      </c>
      <c r="O1154" s="4" t="n"/>
    </row>
    <row r="1155">
      <c r="A1155" s="4" t="inlineStr">
        <is>
          <t>MD-0632</t>
        </is>
      </c>
      <c r="B1155" s="21" t="n">
        <v>46110</v>
      </c>
      <c r="C1155" s="4" t="inlineStr">
        <is>
          <t>Retiro</t>
        </is>
      </c>
      <c r="D1155" s="4" t="n">
        <v>36</v>
      </c>
      <c r="E1155" s="4" t="inlineStr">
        <is>
          <t>buen estado</t>
        </is>
      </c>
      <c r="F1155" s="22" t="n">
        <v>264000</v>
      </c>
      <c r="G1155" s="23" t="n">
        <v>7333.33</v>
      </c>
      <c r="H1155" s="22" t="n"/>
      <c r="I1155" s="23" t="n"/>
      <c r="J1155" s="18" t="n"/>
      <c r="K1155" s="24" t="n"/>
      <c r="L1155" s="4" t="n">
        <v>4</v>
      </c>
      <c r="M1155" s="4" t="inlineStr">
        <is>
          <t>sin muestra</t>
        </is>
      </c>
      <c r="N1155" s="4" t="inlineStr">
        <is>
          <t>no valorable</t>
        </is>
      </c>
      <c r="O1155" s="4" t="inlineStr">
        <is>
          <t>segmento con pocas operaciones comparables</t>
        </is>
      </c>
    </row>
    <row r="1156">
      <c r="A1156" s="4" t="inlineStr">
        <is>
          <t>MD-1601</t>
        </is>
      </c>
      <c r="B1156" s="21" t="n">
        <v>46110</v>
      </c>
      <c r="C1156" s="4" t="inlineStr">
        <is>
          <t>Fuencarral-El Pardo</t>
        </is>
      </c>
      <c r="D1156" s="4" t="n">
        <v>71</v>
      </c>
      <c r="E1156" s="4" t="inlineStr">
        <is>
          <t>buen estado</t>
        </is>
      </c>
      <c r="F1156" s="22" t="n">
        <v>393000</v>
      </c>
      <c r="G1156" s="23" t="n">
        <v>5535.21</v>
      </c>
      <c r="H1156" s="22" t="n">
        <v>399253</v>
      </c>
      <c r="I1156" s="23" t="n">
        <v>5623.28</v>
      </c>
      <c r="J1156" s="18" t="n">
        <v>-0.0157</v>
      </c>
      <c r="K1156" s="24" t="n">
        <v>53.9</v>
      </c>
      <c r="L1156" s="4" t="n">
        <v>18</v>
      </c>
      <c r="M1156" s="4" t="inlineStr">
        <is>
          <t>media</t>
        </is>
      </c>
      <c r="N1156" s="4" t="inlineStr">
        <is>
          <t>en linea con comparables</t>
        </is>
      </c>
      <c r="O1156" s="4" t="n"/>
    </row>
    <row r="1157">
      <c r="A1157" s="4" t="inlineStr">
        <is>
          <t>MD-1231</t>
        </is>
      </c>
      <c r="B1157" s="21" t="n">
        <v>46110</v>
      </c>
      <c r="C1157" s="4" t="inlineStr">
        <is>
          <t>Usera</t>
        </is>
      </c>
      <c r="D1157" s="4" t="n">
        <v>54</v>
      </c>
      <c r="E1157" s="4" t="inlineStr">
        <is>
          <t>buen estado</t>
        </is>
      </c>
      <c r="F1157" s="22" t="n">
        <v>119000</v>
      </c>
      <c r="G1157" s="23" t="n">
        <v>2203.7</v>
      </c>
      <c r="H1157" s="22" t="n"/>
      <c r="I1157" s="23" t="n"/>
      <c r="J1157" s="18" t="n"/>
      <c r="K1157" s="24" t="n"/>
      <c r="L1157" s="4" t="n">
        <v>4</v>
      </c>
      <c r="M1157" s="4" t="inlineStr">
        <is>
          <t>sin muestra</t>
        </is>
      </c>
      <c r="N1157" s="4" t="inlineStr">
        <is>
          <t>no valorable</t>
        </is>
      </c>
      <c r="O1157" s="4" t="inlineStr">
        <is>
          <t>segmento con pocas operaciones comparables</t>
        </is>
      </c>
    </row>
    <row r="1158">
      <c r="A1158" s="4" t="inlineStr">
        <is>
          <t>MD-1955</t>
        </is>
      </c>
      <c r="B1158" s="21" t="n">
        <v>46110</v>
      </c>
      <c r="C1158" s="4" t="inlineStr">
        <is>
          <t>Latina</t>
        </is>
      </c>
      <c r="D1158" s="4" t="n">
        <v>98</v>
      </c>
      <c r="E1158" s="4" t="inlineStr">
        <is>
          <t>reformado</t>
        </is>
      </c>
      <c r="F1158" s="22" t="n">
        <v>395000</v>
      </c>
      <c r="G1158" s="23" t="n">
        <v>4030.61</v>
      </c>
      <c r="H1158" s="22" t="n">
        <v>361996</v>
      </c>
      <c r="I1158" s="23" t="n">
        <v>3693.84</v>
      </c>
      <c r="J1158" s="18" t="n">
        <v>0.0912</v>
      </c>
      <c r="K1158" s="24" t="n">
        <v>27.2</v>
      </c>
      <c r="L1158" s="4" t="n">
        <v>11</v>
      </c>
      <c r="M1158" s="4" t="inlineStr">
        <is>
          <t>media</t>
        </is>
      </c>
      <c r="N1158" s="4" t="inlineStr">
        <is>
          <t>en linea con comparables</t>
        </is>
      </c>
      <c r="O1158" s="4" t="n"/>
    </row>
    <row r="1159">
      <c r="A1159" s="4" t="inlineStr">
        <is>
          <t>MD-1800</t>
        </is>
      </c>
      <c r="B1159" s="21" t="n">
        <v>46110</v>
      </c>
      <c r="C1159" s="4" t="inlineStr">
        <is>
          <t>Latina</t>
        </is>
      </c>
      <c r="D1159" s="4" t="n">
        <v>94</v>
      </c>
      <c r="E1159" s="4" t="inlineStr">
        <is>
          <t>buen estado</t>
        </is>
      </c>
      <c r="F1159" s="22" t="n">
        <v>375000</v>
      </c>
      <c r="G1159" s="23" t="n">
        <v>3989.36</v>
      </c>
      <c r="H1159" s="22" t="n">
        <v>328898</v>
      </c>
      <c r="I1159" s="23" t="n">
        <v>3498.91</v>
      </c>
      <c r="J1159" s="18" t="n">
        <v>0.1402</v>
      </c>
      <c r="K1159" s="24" t="n">
        <v>15</v>
      </c>
      <c r="L1159" s="4" t="n">
        <v>15</v>
      </c>
      <c r="M1159" s="4" t="inlineStr">
        <is>
          <t>alta</t>
        </is>
      </c>
      <c r="N1159" s="4" t="inlineStr">
        <is>
          <t>por encima de comparables</t>
        </is>
      </c>
      <c r="O1159" s="4" t="n"/>
    </row>
    <row r="1160">
      <c r="A1160" s="4" t="inlineStr">
        <is>
          <t>MD-1068</t>
        </is>
      </c>
      <c r="B1160" s="21" t="n">
        <v>46110</v>
      </c>
      <c r="C1160" s="4" t="inlineStr">
        <is>
          <t>Centro</t>
        </is>
      </c>
      <c r="D1160" s="4" t="n">
        <v>41</v>
      </c>
      <c r="E1160" s="4" t="inlineStr">
        <is>
          <t>obra nueva</t>
        </is>
      </c>
      <c r="F1160" s="22" t="n">
        <v>357000</v>
      </c>
      <c r="G1160" s="23" t="n">
        <v>8707.32</v>
      </c>
      <c r="H1160" s="22" t="n">
        <v>344821</v>
      </c>
      <c r="I1160" s="23" t="n">
        <v>8410.27</v>
      </c>
      <c r="J1160" s="18" t="n">
        <v>0.0353</v>
      </c>
      <c r="K1160" s="24" t="n">
        <v>41.2</v>
      </c>
      <c r="L1160" s="4" t="n">
        <v>20</v>
      </c>
      <c r="M1160" s="4" t="inlineStr">
        <is>
          <t>media</t>
        </is>
      </c>
      <c r="N1160" s="4" t="inlineStr">
        <is>
          <t>en linea con comparables</t>
        </is>
      </c>
      <c r="O1160" s="4" t="n"/>
    </row>
    <row r="1161">
      <c r="A1161" s="4" t="inlineStr">
        <is>
          <t>MD-0760</t>
        </is>
      </c>
      <c r="B1161" s="21" t="n">
        <v>46111</v>
      </c>
      <c r="C1161" s="4" t="inlineStr">
        <is>
          <t>Carabanchel</t>
        </is>
      </c>
      <c r="D1161" s="4" t="n">
        <v>74</v>
      </c>
      <c r="E1161" s="4" t="inlineStr">
        <is>
          <t>obra nueva</t>
        </is>
      </c>
      <c r="F1161" s="22" t="n">
        <v>270000</v>
      </c>
      <c r="G1161" s="23" t="n">
        <v>3648.65</v>
      </c>
      <c r="H1161" s="22" t="n">
        <v>281759</v>
      </c>
      <c r="I1161" s="23" t="n">
        <v>3807.56</v>
      </c>
      <c r="J1161" s="18" t="n">
        <v>-0.0417</v>
      </c>
      <c r="K1161" s="24" t="n">
        <v>60.4</v>
      </c>
      <c r="L1161" s="4" t="n">
        <v>31</v>
      </c>
      <c r="M1161" s="4" t="inlineStr">
        <is>
          <t>media</t>
        </is>
      </c>
      <c r="N1161" s="4" t="inlineStr">
        <is>
          <t>en linea con comparables</t>
        </is>
      </c>
      <c r="O1161" s="4" t="n"/>
    </row>
    <row r="1162">
      <c r="A1162" s="4" t="inlineStr">
        <is>
          <t>MD-1223</t>
        </is>
      </c>
      <c r="B1162" s="21" t="n">
        <v>46111</v>
      </c>
      <c r="C1162" s="4" t="inlineStr">
        <is>
          <t>Latina</t>
        </is>
      </c>
      <c r="D1162" s="4" t="n">
        <v>53</v>
      </c>
      <c r="E1162" s="4" t="inlineStr">
        <is>
          <t>buen estado</t>
        </is>
      </c>
      <c r="F1162" s="22" t="n">
        <v>196000</v>
      </c>
      <c r="G1162" s="23" t="n">
        <v>3698.11</v>
      </c>
      <c r="H1162" s="22" t="n">
        <v>166104</v>
      </c>
      <c r="I1162" s="23" t="n">
        <v>3134.05</v>
      </c>
      <c r="J1162" s="18" t="n">
        <v>0.18</v>
      </c>
      <c r="K1162" s="24" t="n">
        <v>5</v>
      </c>
      <c r="L1162" s="4" t="n">
        <v>28</v>
      </c>
      <c r="M1162" s="4" t="inlineStr">
        <is>
          <t>alta</t>
        </is>
      </c>
      <c r="N1162" s="4" t="inlineStr">
        <is>
          <t>por encima de comparables</t>
        </is>
      </c>
      <c r="O1162" s="4" t="n"/>
    </row>
    <row r="1163">
      <c r="A1163" s="4" t="inlineStr">
        <is>
          <t>MD-0486</t>
        </is>
      </c>
      <c r="B1163" s="21" t="n">
        <v>46111</v>
      </c>
      <c r="C1163" s="4" t="inlineStr">
        <is>
          <t>Vicalvaro</t>
        </is>
      </c>
      <c r="D1163" s="4" t="n">
        <v>116</v>
      </c>
      <c r="E1163" s="4" t="inlineStr">
        <is>
          <t>obra nueva</t>
        </is>
      </c>
      <c r="F1163" s="22" t="n">
        <v>359000</v>
      </c>
      <c r="G1163" s="23" t="n">
        <v>3094.83</v>
      </c>
      <c r="H1163" s="22" t="n">
        <v>349030</v>
      </c>
      <c r="I1163" s="23" t="n">
        <v>3008.88</v>
      </c>
      <c r="J1163" s="18" t="n">
        <v>0.0286</v>
      </c>
      <c r="K1163" s="24" t="n">
        <v>42.9</v>
      </c>
      <c r="L1163" s="4" t="n">
        <v>12</v>
      </c>
      <c r="M1163" s="4" t="inlineStr">
        <is>
          <t>media</t>
        </is>
      </c>
      <c r="N1163" s="4" t="inlineStr">
        <is>
          <t>en linea con comparables</t>
        </is>
      </c>
      <c r="O1163" s="4" t="n"/>
    </row>
    <row r="1164">
      <c r="A1164" s="4" t="inlineStr">
        <is>
          <t>MD-0807</t>
        </is>
      </c>
      <c r="B1164" s="21" t="n">
        <v>46111</v>
      </c>
      <c r="C1164" s="4" t="inlineStr">
        <is>
          <t>Chamberi</t>
        </is>
      </c>
      <c r="D1164" s="4" t="n">
        <v>177</v>
      </c>
      <c r="E1164" s="4" t="inlineStr">
        <is>
          <t>a reformar</t>
        </is>
      </c>
      <c r="F1164" s="22" t="n">
        <v>1157000</v>
      </c>
      <c r="G1164" s="23" t="n">
        <v>6536.72</v>
      </c>
      <c r="H1164" s="22" t="n">
        <v>1177914</v>
      </c>
      <c r="I1164" s="23" t="n">
        <v>6654.88</v>
      </c>
      <c r="J1164" s="18" t="n">
        <v>-0.0178</v>
      </c>
      <c r="K1164" s="24" t="n">
        <v>54.4</v>
      </c>
      <c r="L1164" s="4" t="n">
        <v>7</v>
      </c>
      <c r="M1164" s="4" t="inlineStr">
        <is>
          <t>baja</t>
        </is>
      </c>
      <c r="N1164" s="4" t="inlineStr">
        <is>
          <t>en linea con comparables</t>
        </is>
      </c>
      <c r="O1164" s="4" t="n"/>
    </row>
    <row r="1165">
      <c r="A1165" s="4" t="inlineStr">
        <is>
          <t>MD-0198</t>
        </is>
      </c>
      <c r="B1165" s="21" t="n">
        <v>46111</v>
      </c>
      <c r="C1165" s="4" t="inlineStr">
        <is>
          <t>Fuencarral-El Pardo</t>
        </is>
      </c>
      <c r="D1165" s="4" t="n">
        <v>101</v>
      </c>
      <c r="E1165" s="4" t="inlineStr">
        <is>
          <t>buen estado</t>
        </is>
      </c>
      <c r="F1165" s="22" t="n">
        <v>515000</v>
      </c>
      <c r="G1165" s="23" t="n">
        <v>5099.01</v>
      </c>
      <c r="H1165" s="22" t="n">
        <v>576074</v>
      </c>
      <c r="I1165" s="23" t="n">
        <v>5703.7</v>
      </c>
      <c r="J1165" s="18" t="n">
        <v>-0.106</v>
      </c>
      <c r="K1165" s="24" t="n">
        <v>76.5</v>
      </c>
      <c r="L1165" s="4" t="n">
        <v>27</v>
      </c>
      <c r="M1165" s="4" t="inlineStr">
        <is>
          <t>alta</t>
        </is>
      </c>
      <c r="N1165" s="4" t="inlineStr">
        <is>
          <t>por debajo de comparables</t>
        </is>
      </c>
      <c r="O1165" s="4" t="n"/>
    </row>
    <row r="1166">
      <c r="A1166" s="4" t="inlineStr">
        <is>
          <t>MD-1741</t>
        </is>
      </c>
      <c r="B1166" s="21" t="n">
        <v>46111</v>
      </c>
      <c r="C1166" s="4" t="inlineStr">
        <is>
          <t>Hortaleza</t>
        </is>
      </c>
      <c r="D1166" s="4" t="n">
        <v>44</v>
      </c>
      <c r="E1166" s="4" t="inlineStr">
        <is>
          <t>buen estado</t>
        </is>
      </c>
      <c r="F1166" s="22" t="n">
        <v>186000</v>
      </c>
      <c r="G1166" s="23" t="n">
        <v>4227.27</v>
      </c>
      <c r="H1166" s="22" t="n"/>
      <c r="I1166" s="23" t="n"/>
      <c r="J1166" s="18" t="n"/>
      <c r="K1166" s="24" t="n"/>
      <c r="L1166" s="4" t="n">
        <v>3</v>
      </c>
      <c r="M1166" s="4" t="inlineStr">
        <is>
          <t>sin muestra</t>
        </is>
      </c>
      <c r="N1166" s="4" t="inlineStr">
        <is>
          <t>no valorable</t>
        </is>
      </c>
      <c r="O1166" s="4" t="inlineStr">
        <is>
          <t>segmento con pocas operaciones comparables</t>
        </is>
      </c>
    </row>
    <row r="1167">
      <c r="A1167" s="4" t="inlineStr">
        <is>
          <t>MD-1935</t>
        </is>
      </c>
      <c r="B1167" s="21" t="n">
        <v>46112</v>
      </c>
      <c r="C1167" s="4" t="inlineStr">
        <is>
          <t>Carabanchel</t>
        </is>
      </c>
      <c r="D1167" s="4" t="n">
        <v>55</v>
      </c>
      <c r="E1167" s="4" t="inlineStr">
        <is>
          <t>buen estado</t>
        </is>
      </c>
      <c r="F1167" s="22" t="n">
        <v>162000</v>
      </c>
      <c r="G1167" s="23" t="n">
        <v>2945.45</v>
      </c>
      <c r="H1167" s="22" t="n">
        <v>163419</v>
      </c>
      <c r="I1167" s="23" t="n">
        <v>2971.26</v>
      </c>
      <c r="J1167" s="18" t="n">
        <v>-0.008699999999999999</v>
      </c>
      <c r="K1167" s="24" t="n">
        <v>52.2</v>
      </c>
      <c r="L1167" s="4" t="n">
        <v>32</v>
      </c>
      <c r="M1167" s="4" t="inlineStr">
        <is>
          <t>alta</t>
        </is>
      </c>
      <c r="N1167" s="4" t="inlineStr">
        <is>
          <t>en linea con comparables</t>
        </is>
      </c>
      <c r="O1167" s="4" t="n"/>
    </row>
    <row r="1168">
      <c r="A1168" s="4" t="inlineStr">
        <is>
          <t>MD-1620</t>
        </is>
      </c>
      <c r="B1168" s="21" t="n">
        <v>46112</v>
      </c>
      <c r="C1168" s="4" t="inlineStr">
        <is>
          <t>Latina</t>
        </is>
      </c>
      <c r="D1168" s="4" t="n">
        <v>49</v>
      </c>
      <c r="E1168" s="4" t="inlineStr">
        <is>
          <t>obra nueva</t>
        </is>
      </c>
      <c r="F1168" s="22" t="n">
        <v>137000</v>
      </c>
      <c r="G1168" s="23" t="n">
        <v>2795.92</v>
      </c>
      <c r="H1168" s="22" t="n">
        <v>190980</v>
      </c>
      <c r="I1168" s="23" t="n">
        <v>3897.55</v>
      </c>
      <c r="J1168" s="18" t="n">
        <v>-0.2826</v>
      </c>
      <c r="K1168" s="24" t="n">
        <v>100</v>
      </c>
      <c r="L1168" s="4" t="n">
        <v>28</v>
      </c>
      <c r="M1168" s="4" t="inlineStr">
        <is>
          <t>alta</t>
        </is>
      </c>
      <c r="N1168" s="4" t="inlineStr">
        <is>
          <t>por debajo de comparables</t>
        </is>
      </c>
      <c r="O1168" s="4" t="n"/>
    </row>
    <row r="1169">
      <c r="A1169" s="4" t="inlineStr">
        <is>
          <t>MD-0538</t>
        </is>
      </c>
      <c r="B1169" s="21" t="n">
        <v>46112</v>
      </c>
      <c r="C1169" s="4" t="inlineStr">
        <is>
          <t>Tetuan</t>
        </is>
      </c>
      <c r="D1169" s="4" t="n">
        <v>82</v>
      </c>
      <c r="E1169" s="4" t="inlineStr">
        <is>
          <t>buen estado</t>
        </is>
      </c>
      <c r="F1169" s="22" t="n">
        <v>357000</v>
      </c>
      <c r="G1169" s="23" t="n">
        <v>4353.66</v>
      </c>
      <c r="H1169" s="22" t="n">
        <v>430896</v>
      </c>
      <c r="I1169" s="23" t="n">
        <v>5254.83</v>
      </c>
      <c r="J1169" s="18" t="n">
        <v>-0.1715</v>
      </c>
      <c r="K1169" s="24" t="n">
        <v>92.90000000000001</v>
      </c>
      <c r="L1169" s="4" t="n">
        <v>18</v>
      </c>
      <c r="M1169" s="4" t="inlineStr">
        <is>
          <t>media</t>
        </is>
      </c>
      <c r="N1169" s="4" t="inlineStr">
        <is>
          <t>por debajo de comparables</t>
        </is>
      </c>
      <c r="O1169" s="4" t="n"/>
    </row>
    <row r="1170">
      <c r="A1170" s="4" t="inlineStr">
        <is>
          <t>MD-0413</t>
        </is>
      </c>
      <c r="B1170" s="21" t="n">
        <v>46112</v>
      </c>
      <c r="C1170" s="4" t="inlineStr">
        <is>
          <t>San Blas-Canillejas</t>
        </is>
      </c>
      <c r="D1170" s="4" t="n">
        <v>146</v>
      </c>
      <c r="E1170" s="4" t="inlineStr">
        <is>
          <t>a reformar</t>
        </is>
      </c>
      <c r="F1170" s="22" t="n">
        <v>475000</v>
      </c>
      <c r="G1170" s="23" t="n">
        <v>3253.42</v>
      </c>
      <c r="H1170" s="22" t="n">
        <v>419897</v>
      </c>
      <c r="I1170" s="23" t="n">
        <v>2876.01</v>
      </c>
      <c r="J1170" s="18" t="n">
        <v>0.1312</v>
      </c>
      <c r="K1170" s="24" t="n">
        <v>17.2</v>
      </c>
      <c r="L1170" s="4" t="n">
        <v>11</v>
      </c>
      <c r="M1170" s="4" t="inlineStr">
        <is>
          <t>media</t>
        </is>
      </c>
      <c r="N1170" s="4" t="inlineStr">
        <is>
          <t>por encima de comparables</t>
        </is>
      </c>
      <c r="O1170" s="4" t="n"/>
    </row>
    <row r="1171">
      <c r="A1171" s="4" t="inlineStr">
        <is>
          <t>MD-1493</t>
        </is>
      </c>
      <c r="B1171" s="21" t="n">
        <v>46113</v>
      </c>
      <c r="C1171" s="4" t="inlineStr">
        <is>
          <t>Ciudad Lineal</t>
        </is>
      </c>
      <c r="D1171" s="4" t="n">
        <v>45</v>
      </c>
      <c r="E1171" s="4" t="inlineStr">
        <is>
          <t>buen estado</t>
        </is>
      </c>
      <c r="F1171" s="22" t="n">
        <v>153000</v>
      </c>
      <c r="G1171" s="23" t="n">
        <v>3400</v>
      </c>
      <c r="H1171" s="22" t="n">
        <v>196294</v>
      </c>
      <c r="I1171" s="23" t="n">
        <v>4362.09</v>
      </c>
      <c r="J1171" s="18" t="n">
        <v>-0.2206</v>
      </c>
      <c r="K1171" s="24" t="n">
        <v>100</v>
      </c>
      <c r="L1171" s="4" t="n">
        <v>22</v>
      </c>
      <c r="M1171" s="4" t="inlineStr">
        <is>
          <t>alta</t>
        </is>
      </c>
      <c r="N1171" s="4" t="inlineStr">
        <is>
          <t>por debajo de comparables</t>
        </is>
      </c>
      <c r="O1171" s="4" t="n"/>
    </row>
    <row r="1172">
      <c r="A1172" s="4" t="inlineStr">
        <is>
          <t>MD-0595</t>
        </is>
      </c>
      <c r="B1172" s="21" t="n">
        <v>46113</v>
      </c>
      <c r="C1172" s="4" t="inlineStr">
        <is>
          <t>San Blas-Canillejas</t>
        </is>
      </c>
      <c r="D1172" s="4" t="n">
        <v>130</v>
      </c>
      <c r="E1172" s="4" t="inlineStr">
        <is>
          <t>buen estado</t>
        </is>
      </c>
      <c r="F1172" s="22" t="n">
        <v>622000</v>
      </c>
      <c r="G1172" s="23" t="n">
        <v>4784.62</v>
      </c>
      <c r="H1172" s="22" t="n">
        <v>499626</v>
      </c>
      <c r="I1172" s="23" t="n">
        <v>3843.28</v>
      </c>
      <c r="J1172" s="18" t="n">
        <v>0.2449</v>
      </c>
      <c r="K1172" s="24" t="n">
        <v>0</v>
      </c>
      <c r="L1172" s="4" t="n">
        <v>17</v>
      </c>
      <c r="M1172" s="4" t="inlineStr">
        <is>
          <t>alta</t>
        </is>
      </c>
      <c r="N1172" s="4" t="inlineStr">
        <is>
          <t>por encima de comparables</t>
        </is>
      </c>
      <c r="O1172" s="4" t="n"/>
    </row>
    <row r="1173">
      <c r="A1173" s="4" t="inlineStr">
        <is>
          <t>MD-0181</t>
        </is>
      </c>
      <c r="B1173" s="21" t="n">
        <v>46113</v>
      </c>
      <c r="C1173" s="4" t="inlineStr">
        <is>
          <t>Carabanchel</t>
        </is>
      </c>
      <c r="D1173" s="4" t="n">
        <v>56</v>
      </c>
      <c r="E1173" s="4" t="inlineStr">
        <is>
          <t>buen estado</t>
        </is>
      </c>
      <c r="F1173" s="22" t="n">
        <v>200000</v>
      </c>
      <c r="G1173" s="23" t="n">
        <v>3571.43</v>
      </c>
      <c r="H1173" s="22" t="n">
        <v>187011</v>
      </c>
      <c r="I1173" s="23" t="n">
        <v>3339.48</v>
      </c>
      <c r="J1173" s="18" t="n">
        <v>0.06950000000000001</v>
      </c>
      <c r="K1173" s="24" t="n">
        <v>32.6</v>
      </c>
      <c r="L1173" s="4" t="n">
        <v>35</v>
      </c>
      <c r="M1173" s="4" t="inlineStr">
        <is>
          <t>alta</t>
        </is>
      </c>
      <c r="N1173" s="4" t="inlineStr">
        <is>
          <t>en linea con comparables</t>
        </is>
      </c>
      <c r="O1173" s="4" t="n"/>
    </row>
    <row r="1174">
      <c r="A1174" s="4" t="inlineStr">
        <is>
          <t>MD-1572</t>
        </is>
      </c>
      <c r="B1174" s="21" t="n">
        <v>46113</v>
      </c>
      <c r="C1174" s="4" t="inlineStr">
        <is>
          <t>Chamberi</t>
        </is>
      </c>
      <c r="D1174" s="4" t="n">
        <v>175</v>
      </c>
      <c r="E1174" s="4" t="inlineStr">
        <is>
          <t>a reformar</t>
        </is>
      </c>
      <c r="F1174" s="22" t="n">
        <v>986000</v>
      </c>
      <c r="G1174" s="23" t="n">
        <v>5634.29</v>
      </c>
      <c r="H1174" s="22" t="n">
        <v>1129612</v>
      </c>
      <c r="I1174" s="23" t="n">
        <v>6454.93</v>
      </c>
      <c r="J1174" s="18" t="n">
        <v>-0.1271</v>
      </c>
      <c r="K1174" s="24" t="n">
        <v>81.8</v>
      </c>
      <c r="L1174" s="4" t="n">
        <v>9</v>
      </c>
      <c r="M1174" s="4" t="inlineStr">
        <is>
          <t>media</t>
        </is>
      </c>
      <c r="N1174" s="4" t="inlineStr">
        <is>
          <t>por debajo de comparables</t>
        </is>
      </c>
      <c r="O1174" s="4" t="n"/>
    </row>
    <row r="1175">
      <c r="A1175" s="4" t="inlineStr">
        <is>
          <t>MD-0629</t>
        </is>
      </c>
      <c r="B1175" s="21" t="n">
        <v>46113</v>
      </c>
      <c r="C1175" s="4" t="inlineStr">
        <is>
          <t>Barajas</t>
        </is>
      </c>
      <c r="D1175" s="4" t="n">
        <v>88</v>
      </c>
      <c r="E1175" s="4" t="inlineStr">
        <is>
          <t>buen estado</t>
        </is>
      </c>
      <c r="F1175" s="22" t="n">
        <v>461000</v>
      </c>
      <c r="G1175" s="23" t="n">
        <v>5238.64</v>
      </c>
      <c r="H1175" s="22" t="n">
        <v>367870</v>
      </c>
      <c r="I1175" s="23" t="n">
        <v>4180.34</v>
      </c>
      <c r="J1175" s="18" t="n">
        <v>0.2532</v>
      </c>
      <c r="K1175" s="24" t="n">
        <v>0</v>
      </c>
      <c r="L1175" s="4" t="n">
        <v>8</v>
      </c>
      <c r="M1175" s="4" t="inlineStr">
        <is>
          <t>media</t>
        </is>
      </c>
      <c r="N1175" s="4" t="inlineStr">
        <is>
          <t>por encima de comparables</t>
        </is>
      </c>
      <c r="O1175" s="4" t="n"/>
    </row>
    <row r="1176">
      <c r="A1176" s="4" t="inlineStr">
        <is>
          <t>MD-0895</t>
        </is>
      </c>
      <c r="B1176" s="21" t="n">
        <v>46114</v>
      </c>
      <c r="C1176" s="4" t="inlineStr">
        <is>
          <t>Tetuan</t>
        </is>
      </c>
      <c r="D1176" s="4" t="n">
        <v>72</v>
      </c>
      <c r="E1176" s="4" t="inlineStr">
        <is>
          <t>buen estado</t>
        </is>
      </c>
      <c r="F1176" s="22" t="n">
        <v>349000</v>
      </c>
      <c r="G1176" s="23" t="n">
        <v>4847.22</v>
      </c>
      <c r="H1176" s="22" t="n">
        <v>374326</v>
      </c>
      <c r="I1176" s="23" t="n">
        <v>5198.97</v>
      </c>
      <c r="J1176" s="18" t="n">
        <v>-0.0677</v>
      </c>
      <c r="K1176" s="24" t="n">
        <v>66.90000000000001</v>
      </c>
      <c r="L1176" s="4" t="n">
        <v>22</v>
      </c>
      <c r="M1176" s="4" t="inlineStr">
        <is>
          <t>alta</t>
        </is>
      </c>
      <c r="N1176" s="4" t="inlineStr">
        <is>
          <t>en linea con comparables</t>
        </is>
      </c>
      <c r="O1176" s="4" t="n"/>
    </row>
    <row r="1177">
      <c r="A1177" s="4" t="inlineStr">
        <is>
          <t>MD-0584</t>
        </is>
      </c>
      <c r="B1177" s="21" t="n">
        <v>46114</v>
      </c>
      <c r="C1177" s="4" t="inlineStr">
        <is>
          <t>Moratalaz</t>
        </is>
      </c>
      <c r="D1177" s="4" t="n">
        <v>94</v>
      </c>
      <c r="E1177" s="4" t="inlineStr">
        <is>
          <t>buen estado</t>
        </is>
      </c>
      <c r="F1177" s="22" t="n">
        <v>381000</v>
      </c>
      <c r="G1177" s="23" t="n">
        <v>4053.19</v>
      </c>
      <c r="H1177" s="22" t="n">
        <v>354070</v>
      </c>
      <c r="I1177" s="23" t="n">
        <v>3766.7</v>
      </c>
      <c r="J1177" s="18" t="n">
        <v>0.0761</v>
      </c>
      <c r="K1177" s="24" t="n">
        <v>31</v>
      </c>
      <c r="L1177" s="4" t="n">
        <v>14</v>
      </c>
      <c r="M1177" s="4" t="inlineStr">
        <is>
          <t>media</t>
        </is>
      </c>
      <c r="N1177" s="4" t="inlineStr">
        <is>
          <t>en linea con comparables</t>
        </is>
      </c>
      <c r="O1177" s="4" t="n"/>
    </row>
    <row r="1178">
      <c r="A1178" s="4" t="inlineStr">
        <is>
          <t>MD-1523</t>
        </is>
      </c>
      <c r="B1178" s="21" t="n">
        <v>46114</v>
      </c>
      <c r="C1178" s="4" t="inlineStr">
        <is>
          <t>Fuencarral-El Pardo</t>
        </is>
      </c>
      <c r="D1178" s="4" t="n">
        <v>49</v>
      </c>
      <c r="E1178" s="4" t="inlineStr">
        <is>
          <t>a reformar</t>
        </is>
      </c>
      <c r="F1178" s="22" t="n">
        <v>241000</v>
      </c>
      <c r="G1178" s="23" t="n">
        <v>4918.37</v>
      </c>
      <c r="H1178" s="22" t="n">
        <v>235021</v>
      </c>
      <c r="I1178" s="23" t="n">
        <v>4796.34</v>
      </c>
      <c r="J1178" s="18" t="n">
        <v>0.0254</v>
      </c>
      <c r="K1178" s="24" t="n">
        <v>43.6</v>
      </c>
      <c r="L1178" s="4" t="n">
        <v>16</v>
      </c>
      <c r="M1178" s="4" t="inlineStr">
        <is>
          <t>alta</t>
        </is>
      </c>
      <c r="N1178" s="4" t="inlineStr">
        <is>
          <t>en linea con comparables</t>
        </is>
      </c>
      <c r="O1178" s="4" t="n"/>
    </row>
    <row r="1179">
      <c r="A1179" s="4" t="inlineStr">
        <is>
          <t>MD-1481</t>
        </is>
      </c>
      <c r="B1179" s="21" t="n">
        <v>46114</v>
      </c>
      <c r="C1179" s="4" t="inlineStr">
        <is>
          <t>Retiro</t>
        </is>
      </c>
      <c r="D1179" s="4" t="n">
        <v>52</v>
      </c>
      <c r="E1179" s="4" t="inlineStr">
        <is>
          <t>reformado</t>
        </is>
      </c>
      <c r="F1179" s="22" t="n">
        <v>378000</v>
      </c>
      <c r="G1179" s="23" t="n">
        <v>7269.23</v>
      </c>
      <c r="H1179" s="22" t="n">
        <v>404277</v>
      </c>
      <c r="I1179" s="23" t="n">
        <v>7774.56</v>
      </c>
      <c r="J1179" s="18" t="n">
        <v>-0.065</v>
      </c>
      <c r="K1179" s="24" t="n">
        <v>66.2</v>
      </c>
      <c r="L1179" s="4" t="n">
        <v>10</v>
      </c>
      <c r="M1179" s="4" t="inlineStr">
        <is>
          <t>media</t>
        </is>
      </c>
      <c r="N1179" s="4" t="inlineStr">
        <is>
          <t>en linea con comparables</t>
        </is>
      </c>
      <c r="O1179" s="4" t="n"/>
    </row>
    <row r="1180">
      <c r="A1180" s="4" t="inlineStr">
        <is>
          <t>MD-0742</t>
        </is>
      </c>
      <c r="B1180" s="21" t="n">
        <v>46115</v>
      </c>
      <c r="C1180" s="4" t="inlineStr">
        <is>
          <t>Salamanca</t>
        </is>
      </c>
      <c r="D1180" s="4" t="n">
        <v>105</v>
      </c>
      <c r="E1180" s="4" t="inlineStr">
        <is>
          <t>reformado</t>
        </is>
      </c>
      <c r="F1180" s="22" t="n">
        <v>1533000</v>
      </c>
      <c r="G1180" s="23" t="n">
        <v>14600</v>
      </c>
      <c r="H1180" s="22" t="n">
        <v>1097726</v>
      </c>
      <c r="I1180" s="23" t="n">
        <v>10454.53</v>
      </c>
      <c r="J1180" s="18" t="n">
        <v>0.3965</v>
      </c>
      <c r="K1180" s="24" t="n">
        <v>0</v>
      </c>
      <c r="L1180" s="4" t="n">
        <v>10</v>
      </c>
      <c r="M1180" s="4" t="inlineStr">
        <is>
          <t>media</t>
        </is>
      </c>
      <c r="N1180" s="4" t="inlineStr">
        <is>
          <t>por encima de comparables</t>
        </is>
      </c>
      <c r="O1180" s="4" t="n"/>
    </row>
    <row r="1181">
      <c r="A1181" s="4" t="inlineStr">
        <is>
          <t>MD-0724</t>
        </is>
      </c>
      <c r="B1181" s="21" t="n">
        <v>46115</v>
      </c>
      <c r="C1181" s="4" t="inlineStr">
        <is>
          <t>Latina</t>
        </is>
      </c>
      <c r="D1181" s="4" t="n">
        <v>55</v>
      </c>
      <c r="E1181" s="4" t="inlineStr">
        <is>
          <t>a reformar</t>
        </is>
      </c>
      <c r="F1181" s="22" t="n">
        <v>203000</v>
      </c>
      <c r="G1181" s="23" t="n">
        <v>3690.91</v>
      </c>
      <c r="H1181" s="22" t="n">
        <v>173381</v>
      </c>
      <c r="I1181" s="23" t="n">
        <v>3152.38</v>
      </c>
      <c r="J1181" s="18" t="n">
        <v>0.1708</v>
      </c>
      <c r="K1181" s="24" t="n">
        <v>7.3</v>
      </c>
      <c r="L1181" s="4" t="n">
        <v>34</v>
      </c>
      <c r="M1181" s="4" t="inlineStr">
        <is>
          <t>alta</t>
        </is>
      </c>
      <c r="N1181" s="4" t="inlineStr">
        <is>
          <t>por encima de comparables</t>
        </is>
      </c>
      <c r="O1181" s="4" t="n"/>
    </row>
    <row r="1182">
      <c r="A1182" s="4" t="inlineStr">
        <is>
          <t>MD-1814</t>
        </is>
      </c>
      <c r="B1182" s="21" t="n">
        <v>46115</v>
      </c>
      <c r="C1182" s="4" t="inlineStr">
        <is>
          <t>Villaverde</t>
        </is>
      </c>
      <c r="D1182" s="4" t="n">
        <v>92</v>
      </c>
      <c r="E1182" s="4" t="inlineStr">
        <is>
          <t>reformado</t>
        </is>
      </c>
      <c r="F1182" s="22" t="n">
        <v>185000</v>
      </c>
      <c r="G1182" s="23" t="n">
        <v>2010.87</v>
      </c>
      <c r="H1182" s="22" t="n">
        <v>219887</v>
      </c>
      <c r="I1182" s="23" t="n">
        <v>2390.08</v>
      </c>
      <c r="J1182" s="18" t="n">
        <v>-0.1587</v>
      </c>
      <c r="K1182" s="24" t="n">
        <v>89.7</v>
      </c>
      <c r="L1182" s="4" t="n">
        <v>6</v>
      </c>
      <c r="M1182" s="4" t="inlineStr">
        <is>
          <t>baja</t>
        </is>
      </c>
      <c r="N1182" s="4" t="inlineStr">
        <is>
          <t>por debajo de comparables</t>
        </is>
      </c>
      <c r="O1182" s="4" t="n"/>
    </row>
    <row r="1183">
      <c r="A1183" s="4" t="inlineStr">
        <is>
          <t>MD-0549</t>
        </is>
      </c>
      <c r="B1183" s="21" t="n">
        <v>46115</v>
      </c>
      <c r="C1183" s="4" t="inlineStr">
        <is>
          <t>Carabanchel</t>
        </is>
      </c>
      <c r="D1183" s="4" t="n">
        <v>47</v>
      </c>
      <c r="E1183" s="4" t="inlineStr">
        <is>
          <t>buen estado</t>
        </is>
      </c>
      <c r="F1183" s="22" t="n">
        <v>167000</v>
      </c>
      <c r="G1183" s="23" t="n">
        <v>3553.19</v>
      </c>
      <c r="H1183" s="22" t="n">
        <v>155745</v>
      </c>
      <c r="I1183" s="23" t="n">
        <v>3313.73</v>
      </c>
      <c r="J1183" s="18" t="n">
        <v>0.0723</v>
      </c>
      <c r="K1183" s="24" t="n">
        <v>31.9</v>
      </c>
      <c r="L1183" s="4" t="n">
        <v>29</v>
      </c>
      <c r="M1183" s="4" t="inlineStr">
        <is>
          <t>alta</t>
        </is>
      </c>
      <c r="N1183" s="4" t="inlineStr">
        <is>
          <t>en linea con comparables</t>
        </is>
      </c>
      <c r="O1183" s="4" t="n"/>
    </row>
    <row r="1184">
      <c r="A1184" s="4" t="inlineStr">
        <is>
          <t>MD-0986</t>
        </is>
      </c>
      <c r="B1184" s="21" t="n">
        <v>46115</v>
      </c>
      <c r="C1184" s="4" t="inlineStr">
        <is>
          <t>Centro</t>
        </is>
      </c>
      <c r="D1184" s="4" t="n">
        <v>40</v>
      </c>
      <c r="E1184" s="4" t="inlineStr">
        <is>
          <t>buen estado</t>
        </is>
      </c>
      <c r="F1184" s="22" t="n">
        <v>274000</v>
      </c>
      <c r="G1184" s="23" t="n">
        <v>6850</v>
      </c>
      <c r="H1184" s="22" t="n">
        <v>258919</v>
      </c>
      <c r="I1184" s="23" t="n">
        <v>6472.97</v>
      </c>
      <c r="J1184" s="18" t="n">
        <v>0.0582</v>
      </c>
      <c r="K1184" s="24" t="n">
        <v>35.4</v>
      </c>
      <c r="L1184" s="4" t="n">
        <v>21</v>
      </c>
      <c r="M1184" s="4" t="inlineStr">
        <is>
          <t>alta</t>
        </is>
      </c>
      <c r="N1184" s="4" t="inlineStr">
        <is>
          <t>en linea con comparables</t>
        </is>
      </c>
      <c r="O1184" s="4" t="n"/>
    </row>
    <row r="1185">
      <c r="A1185" s="4" t="inlineStr">
        <is>
          <t>MD-1746</t>
        </is>
      </c>
      <c r="B1185" s="21" t="n">
        <v>46116</v>
      </c>
      <c r="C1185" s="4" t="inlineStr">
        <is>
          <t>Carabanchel</t>
        </is>
      </c>
      <c r="D1185" s="4" t="n">
        <v>67</v>
      </c>
      <c r="E1185" s="4" t="inlineStr">
        <is>
          <t>obra nueva</t>
        </is>
      </c>
      <c r="F1185" s="22" t="n">
        <v>234000</v>
      </c>
      <c r="G1185" s="23" t="n">
        <v>3492.54</v>
      </c>
      <c r="H1185" s="22" t="n">
        <v>231856</v>
      </c>
      <c r="I1185" s="23" t="n">
        <v>3460.54</v>
      </c>
      <c r="J1185" s="18" t="n">
        <v>0.0092</v>
      </c>
      <c r="K1185" s="24" t="n">
        <v>47.7</v>
      </c>
      <c r="L1185" s="4" t="n">
        <v>38</v>
      </c>
      <c r="M1185" s="4" t="inlineStr">
        <is>
          <t>alta</t>
        </is>
      </c>
      <c r="N1185" s="4" t="inlineStr">
        <is>
          <t>en linea con comparables</t>
        </is>
      </c>
      <c r="O1185" s="4" t="n"/>
    </row>
    <row r="1186">
      <c r="A1186" s="4" t="inlineStr">
        <is>
          <t>MD-1127</t>
        </is>
      </c>
      <c r="B1186" s="21" t="n">
        <v>46116</v>
      </c>
      <c r="C1186" s="4" t="inlineStr">
        <is>
          <t>Hortaleza</t>
        </is>
      </c>
      <c r="D1186" s="4" t="n">
        <v>138</v>
      </c>
      <c r="E1186" s="4" t="inlineStr">
        <is>
          <t>buen estado</t>
        </is>
      </c>
      <c r="F1186" s="22" t="n">
        <v>697000</v>
      </c>
      <c r="G1186" s="23" t="n">
        <v>5050.72</v>
      </c>
      <c r="H1186" s="22" t="n">
        <v>752531</v>
      </c>
      <c r="I1186" s="23" t="n">
        <v>5453.12</v>
      </c>
      <c r="J1186" s="18" t="n">
        <v>-0.0738</v>
      </c>
      <c r="K1186" s="24" t="n">
        <v>68.40000000000001</v>
      </c>
      <c r="L1186" s="4" t="n">
        <v>23</v>
      </c>
      <c r="M1186" s="4" t="inlineStr">
        <is>
          <t>media</t>
        </is>
      </c>
      <c r="N1186" s="4" t="inlineStr">
        <is>
          <t>en linea con comparables</t>
        </is>
      </c>
      <c r="O1186" s="4" t="n"/>
    </row>
    <row r="1187">
      <c r="A1187" s="4" t="inlineStr">
        <is>
          <t>MD-0200</t>
        </is>
      </c>
      <c r="B1187" s="21" t="n">
        <v>46116</v>
      </c>
      <c r="C1187" s="4" t="inlineStr">
        <is>
          <t>Tetuan</t>
        </is>
      </c>
      <c r="D1187" s="4" t="n">
        <v>88</v>
      </c>
      <c r="E1187" s="4" t="inlineStr">
        <is>
          <t>a reformar</t>
        </is>
      </c>
      <c r="F1187" s="22" t="n">
        <v>331000</v>
      </c>
      <c r="G1187" s="23" t="n">
        <v>3761.36</v>
      </c>
      <c r="H1187" s="22" t="n">
        <v>337479</v>
      </c>
      <c r="I1187" s="23" t="n">
        <v>3834.98</v>
      </c>
      <c r="J1187" s="18" t="n">
        <v>-0.0192</v>
      </c>
      <c r="K1187" s="24" t="n">
        <v>54.8</v>
      </c>
      <c r="L1187" s="4" t="n">
        <v>18</v>
      </c>
      <c r="M1187" s="4" t="inlineStr">
        <is>
          <t>media</t>
        </is>
      </c>
      <c r="N1187" s="4" t="inlineStr">
        <is>
          <t>en linea con comparables</t>
        </is>
      </c>
      <c r="O1187" s="4" t="n"/>
    </row>
    <row r="1188">
      <c r="A1188" s="4" t="inlineStr">
        <is>
          <t>MD-0823</t>
        </is>
      </c>
      <c r="B1188" s="21" t="n">
        <v>46116</v>
      </c>
      <c r="C1188" s="4" t="inlineStr">
        <is>
          <t>Tetuan</t>
        </is>
      </c>
      <c r="D1188" s="4" t="n">
        <v>38</v>
      </c>
      <c r="E1188" s="4" t="inlineStr">
        <is>
          <t>a reformar</t>
        </is>
      </c>
      <c r="F1188" s="22" t="n">
        <v>149000</v>
      </c>
      <c r="G1188" s="23" t="n">
        <v>3921.05</v>
      </c>
      <c r="H1188" s="22" t="n">
        <v>189278</v>
      </c>
      <c r="I1188" s="23" t="n">
        <v>4981</v>
      </c>
      <c r="J1188" s="18" t="n">
        <v>-0.2128</v>
      </c>
      <c r="K1188" s="24" t="n">
        <v>100</v>
      </c>
      <c r="L1188" s="4" t="n">
        <v>14</v>
      </c>
      <c r="M1188" s="4" t="inlineStr">
        <is>
          <t>media</t>
        </is>
      </c>
      <c r="N1188" s="4" t="inlineStr">
        <is>
          <t>por debajo de comparables</t>
        </is>
      </c>
      <c r="O1188" s="4" t="n"/>
    </row>
    <row r="1189">
      <c r="A1189" s="4" t="inlineStr">
        <is>
          <t>MD-1910</t>
        </is>
      </c>
      <c r="B1189" s="21" t="n">
        <v>46116</v>
      </c>
      <c r="C1189" s="4" t="inlineStr">
        <is>
          <t>Chamartin</t>
        </is>
      </c>
      <c r="D1189" s="4" t="n">
        <v>33</v>
      </c>
      <c r="E1189" s="4" t="inlineStr">
        <is>
          <t>buen estado</t>
        </is>
      </c>
      <c r="F1189" s="22" t="n">
        <v>268000</v>
      </c>
      <c r="G1189" s="23" t="n">
        <v>8121.21</v>
      </c>
      <c r="H1189" s="22" t="n">
        <v>211032</v>
      </c>
      <c r="I1189" s="23" t="n">
        <v>6394.91</v>
      </c>
      <c r="J1189" s="18" t="n">
        <v>0.2699</v>
      </c>
      <c r="K1189" s="24" t="n">
        <v>0</v>
      </c>
      <c r="L1189" s="4" t="n">
        <v>7</v>
      </c>
      <c r="M1189" s="4" t="inlineStr">
        <is>
          <t>baja</t>
        </is>
      </c>
      <c r="N1189" s="4" t="inlineStr">
        <is>
          <t>por encima de comparables</t>
        </is>
      </c>
      <c r="O1189" s="4" t="n"/>
    </row>
    <row r="1190">
      <c r="A1190" s="4" t="inlineStr">
        <is>
          <t>MD-0806</t>
        </is>
      </c>
      <c r="B1190" s="21" t="n">
        <v>46116</v>
      </c>
      <c r="C1190" s="4" t="inlineStr">
        <is>
          <t>Hortaleza</t>
        </is>
      </c>
      <c r="D1190" s="4" t="n">
        <v>77</v>
      </c>
      <c r="E1190" s="4" t="inlineStr">
        <is>
          <t>obra nueva</t>
        </is>
      </c>
      <c r="F1190" s="22" t="n">
        <v>444000</v>
      </c>
      <c r="G1190" s="23" t="n">
        <v>5766.23</v>
      </c>
      <c r="H1190" s="22" t="n">
        <v>491788</v>
      </c>
      <c r="I1190" s="23" t="n">
        <v>6386.85</v>
      </c>
      <c r="J1190" s="18" t="n">
        <v>-0.09719999999999999</v>
      </c>
      <c r="K1190" s="24" t="n">
        <v>74.3</v>
      </c>
      <c r="L1190" s="4" t="n">
        <v>24</v>
      </c>
      <c r="M1190" s="4" t="inlineStr">
        <is>
          <t>media</t>
        </is>
      </c>
      <c r="N1190" s="4" t="inlineStr">
        <is>
          <t>en linea con comparables</t>
        </is>
      </c>
      <c r="O1190" s="4" t="n"/>
    </row>
    <row r="1191">
      <c r="A1191" s="4" t="inlineStr">
        <is>
          <t>MD-0555</t>
        </is>
      </c>
      <c r="B1191" s="21" t="n">
        <v>46117</v>
      </c>
      <c r="C1191" s="4" t="inlineStr">
        <is>
          <t>Ciudad Lineal</t>
        </is>
      </c>
      <c r="D1191" s="4" t="n">
        <v>54</v>
      </c>
      <c r="E1191" s="4" t="inlineStr">
        <is>
          <t>a reformar</t>
        </is>
      </c>
      <c r="F1191" s="22" t="n">
        <v>205000</v>
      </c>
      <c r="G1191" s="23" t="n">
        <v>3796.3</v>
      </c>
      <c r="H1191" s="22" t="n">
        <v>233134</v>
      </c>
      <c r="I1191" s="23" t="n">
        <v>4317.29</v>
      </c>
      <c r="J1191" s="18" t="n">
        <v>-0.1207</v>
      </c>
      <c r="K1191" s="24" t="n">
        <v>80.2</v>
      </c>
      <c r="L1191" s="4" t="n">
        <v>25</v>
      </c>
      <c r="M1191" s="4" t="inlineStr">
        <is>
          <t>alta</t>
        </is>
      </c>
      <c r="N1191" s="4" t="inlineStr">
        <is>
          <t>por debajo de comparables</t>
        </is>
      </c>
      <c r="O1191" s="4" t="n"/>
    </row>
    <row r="1192">
      <c r="A1192" s="4" t="inlineStr">
        <is>
          <t>MD-1398</t>
        </is>
      </c>
      <c r="B1192" s="21" t="n">
        <v>46117</v>
      </c>
      <c r="C1192" s="4" t="inlineStr">
        <is>
          <t>Ciudad Lineal</t>
        </is>
      </c>
      <c r="D1192" s="4" t="n">
        <v>47</v>
      </c>
      <c r="E1192" s="4" t="inlineStr">
        <is>
          <t>a reformar</t>
        </is>
      </c>
      <c r="F1192" s="22" t="n">
        <v>150000</v>
      </c>
      <c r="G1192" s="23" t="n">
        <v>3191.49</v>
      </c>
      <c r="H1192" s="22" t="n">
        <v>190525</v>
      </c>
      <c r="I1192" s="23" t="n">
        <v>4053.72</v>
      </c>
      <c r="J1192" s="18" t="n">
        <v>-0.2127</v>
      </c>
      <c r="K1192" s="24" t="n">
        <v>100</v>
      </c>
      <c r="L1192" s="4" t="n">
        <v>24</v>
      </c>
      <c r="M1192" s="4" t="inlineStr">
        <is>
          <t>alta</t>
        </is>
      </c>
      <c r="N1192" s="4" t="inlineStr">
        <is>
          <t>por debajo de comparables</t>
        </is>
      </c>
      <c r="O1192" s="4" t="n"/>
    </row>
    <row r="1193">
      <c r="A1193" s="4" t="inlineStr">
        <is>
          <t>MD-1565</t>
        </is>
      </c>
      <c r="B1193" s="21" t="n">
        <v>46117</v>
      </c>
      <c r="C1193" s="4" t="inlineStr">
        <is>
          <t>Arganzuela</t>
        </is>
      </c>
      <c r="D1193" s="4" t="n">
        <v>81</v>
      </c>
      <c r="E1193" s="4" t="inlineStr">
        <is>
          <t>buen estado</t>
        </is>
      </c>
      <c r="F1193" s="22" t="n">
        <v>493000</v>
      </c>
      <c r="G1193" s="23" t="n">
        <v>6086.42</v>
      </c>
      <c r="H1193" s="22" t="n">
        <v>518733</v>
      </c>
      <c r="I1193" s="23" t="n">
        <v>6404.11</v>
      </c>
      <c r="J1193" s="18" t="n">
        <v>-0.0496</v>
      </c>
      <c r="K1193" s="24" t="n">
        <v>62.4</v>
      </c>
      <c r="L1193" s="4" t="n">
        <v>16</v>
      </c>
      <c r="M1193" s="4" t="inlineStr">
        <is>
          <t>alta</t>
        </is>
      </c>
      <c r="N1193" s="4" t="inlineStr">
        <is>
          <t>en linea con comparables</t>
        </is>
      </c>
      <c r="O1193" s="4" t="n"/>
    </row>
    <row r="1194">
      <c r="A1194" s="4" t="inlineStr">
        <is>
          <t>MD-1697</t>
        </is>
      </c>
      <c r="B1194" s="21" t="n">
        <v>46117</v>
      </c>
      <c r="C1194" s="4" t="inlineStr">
        <is>
          <t>San Blas-Canillejas</t>
        </is>
      </c>
      <c r="D1194" s="4" t="n">
        <v>113</v>
      </c>
      <c r="E1194" s="4" t="inlineStr">
        <is>
          <t>obra nueva</t>
        </is>
      </c>
      <c r="F1194" s="22" t="n">
        <v>498000</v>
      </c>
      <c r="G1194" s="23" t="n">
        <v>4407.08</v>
      </c>
      <c r="H1194" s="22" t="n">
        <v>515107</v>
      </c>
      <c r="I1194" s="23" t="n">
        <v>4558.47</v>
      </c>
      <c r="J1194" s="18" t="n">
        <v>-0.0332</v>
      </c>
      <c r="K1194" s="24" t="n">
        <v>58.3</v>
      </c>
      <c r="L1194" s="4" t="n">
        <v>18</v>
      </c>
      <c r="M1194" s="4" t="inlineStr">
        <is>
          <t>media</t>
        </is>
      </c>
      <c r="N1194" s="4" t="inlineStr">
        <is>
          <t>en linea con comparables</t>
        </is>
      </c>
      <c r="O1194" s="4" t="n"/>
    </row>
    <row r="1195">
      <c r="A1195" s="4" t="inlineStr">
        <is>
          <t>MD-1487</t>
        </is>
      </c>
      <c r="B1195" s="21" t="n">
        <v>46117</v>
      </c>
      <c r="C1195" s="4" t="inlineStr">
        <is>
          <t>Arganzuela</t>
        </is>
      </c>
      <c r="D1195" s="4" t="n">
        <v>76</v>
      </c>
      <c r="E1195" s="4" t="inlineStr">
        <is>
          <t>obra nueva</t>
        </is>
      </c>
      <c r="F1195" s="22" t="n">
        <v>553000</v>
      </c>
      <c r="G1195" s="23" t="n">
        <v>7276.32</v>
      </c>
      <c r="H1195" s="22" t="n">
        <v>567642</v>
      </c>
      <c r="I1195" s="23" t="n">
        <v>7468.97</v>
      </c>
      <c r="J1195" s="18" t="n">
        <v>-0.0258</v>
      </c>
      <c r="K1195" s="24" t="n">
        <v>56.4</v>
      </c>
      <c r="L1195" s="4" t="n">
        <v>20</v>
      </c>
      <c r="M1195" s="4" t="inlineStr">
        <is>
          <t>media</t>
        </is>
      </c>
      <c r="N1195" s="4" t="inlineStr">
        <is>
          <t>en linea con comparables</t>
        </is>
      </c>
      <c r="O1195" s="4" t="n"/>
    </row>
    <row r="1196">
      <c r="A1196" s="4" t="inlineStr">
        <is>
          <t>MD-0516</t>
        </is>
      </c>
      <c r="B1196" s="21" t="n">
        <v>46117</v>
      </c>
      <c r="C1196" s="4" t="inlineStr">
        <is>
          <t>Hortaleza</t>
        </is>
      </c>
      <c r="D1196" s="4" t="n">
        <v>149</v>
      </c>
      <c r="E1196" s="4" t="inlineStr">
        <is>
          <t>buen estado</t>
        </is>
      </c>
      <c r="F1196" s="22" t="n">
        <v>711000</v>
      </c>
      <c r="G1196" s="23" t="n">
        <v>4771.81</v>
      </c>
      <c r="H1196" s="22" t="n">
        <v>812838</v>
      </c>
      <c r="I1196" s="23" t="n">
        <v>5455.29</v>
      </c>
      <c r="J1196" s="18" t="n">
        <v>-0.1253</v>
      </c>
      <c r="K1196" s="24" t="n">
        <v>81.3</v>
      </c>
      <c r="L1196" s="4" t="n">
        <v>28</v>
      </c>
      <c r="M1196" s="4" t="inlineStr">
        <is>
          <t>media</t>
        </is>
      </c>
      <c r="N1196" s="4" t="inlineStr">
        <is>
          <t>por debajo de comparables</t>
        </is>
      </c>
      <c r="O1196" s="4" t="n"/>
    </row>
    <row r="1197">
      <c r="A1197" s="4" t="inlineStr">
        <is>
          <t>MD-1563</t>
        </is>
      </c>
      <c r="B1197" s="21" t="n">
        <v>46117</v>
      </c>
      <c r="C1197" s="4" t="inlineStr">
        <is>
          <t>Moratalaz</t>
        </is>
      </c>
      <c r="D1197" s="4" t="n">
        <v>71</v>
      </c>
      <c r="E1197" s="4" t="inlineStr">
        <is>
          <t>buen estado</t>
        </is>
      </c>
      <c r="F1197" s="22" t="n">
        <v>308000</v>
      </c>
      <c r="G1197" s="23" t="n">
        <v>4338.03</v>
      </c>
      <c r="H1197" s="22" t="n">
        <v>248069</v>
      </c>
      <c r="I1197" s="23" t="n">
        <v>3493.94</v>
      </c>
      <c r="J1197" s="18" t="n">
        <v>0.2416</v>
      </c>
      <c r="K1197" s="24" t="n">
        <v>0</v>
      </c>
      <c r="L1197" s="4" t="n">
        <v>14</v>
      </c>
      <c r="M1197" s="4" t="inlineStr">
        <is>
          <t>media</t>
        </is>
      </c>
      <c r="N1197" s="4" t="inlineStr">
        <is>
          <t>por encima de comparables</t>
        </is>
      </c>
      <c r="O1197" s="4" t="n"/>
    </row>
    <row r="1198">
      <c r="A1198" s="4" t="inlineStr">
        <is>
          <t>MD-0494</t>
        </is>
      </c>
      <c r="B1198" s="21" t="n">
        <v>46117</v>
      </c>
      <c r="C1198" s="4" t="inlineStr">
        <is>
          <t>Villa de Vallecas</t>
        </is>
      </c>
      <c r="D1198" s="4" t="n">
        <v>93</v>
      </c>
      <c r="E1198" s="4" t="inlineStr">
        <is>
          <t>obra nueva</t>
        </is>
      </c>
      <c r="F1198" s="22" t="n">
        <v>431000</v>
      </c>
      <c r="G1198" s="23" t="n">
        <v>4634.41</v>
      </c>
      <c r="H1198" s="22" t="n">
        <v>382538</v>
      </c>
      <c r="I1198" s="23" t="n">
        <v>4113.31</v>
      </c>
      <c r="J1198" s="18" t="n">
        <v>0.1267</v>
      </c>
      <c r="K1198" s="24" t="n">
        <v>18.3</v>
      </c>
      <c r="L1198" s="4" t="n">
        <v>12</v>
      </c>
      <c r="M1198" s="4" t="inlineStr">
        <is>
          <t>media</t>
        </is>
      </c>
      <c r="N1198" s="4" t="inlineStr">
        <is>
          <t>por encima de comparables</t>
        </is>
      </c>
      <c r="O1198" s="4" t="n"/>
    </row>
    <row r="1199">
      <c r="A1199" s="4" t="inlineStr">
        <is>
          <t>MD-1652</t>
        </is>
      </c>
      <c r="B1199" s="21" t="n">
        <v>46118</v>
      </c>
      <c r="C1199" s="4" t="inlineStr">
        <is>
          <t>Salamanca</t>
        </is>
      </c>
      <c r="D1199" s="4" t="n">
        <v>38</v>
      </c>
      <c r="E1199" s="4" t="inlineStr">
        <is>
          <t>buen estado</t>
        </is>
      </c>
      <c r="F1199" s="22" t="n">
        <v>307000</v>
      </c>
      <c r="G1199" s="23" t="n">
        <v>8078.95</v>
      </c>
      <c r="H1199" s="22" t="n">
        <v>274813</v>
      </c>
      <c r="I1199" s="23" t="n">
        <v>7231.92</v>
      </c>
      <c r="J1199" s="18" t="n">
        <v>0.1171</v>
      </c>
      <c r="K1199" s="24" t="n">
        <v>20.7</v>
      </c>
      <c r="L1199" s="4" t="n">
        <v>10</v>
      </c>
      <c r="M1199" s="4" t="inlineStr">
        <is>
          <t>media</t>
        </is>
      </c>
      <c r="N1199" s="4" t="inlineStr">
        <is>
          <t>por encima de comparables</t>
        </is>
      </c>
      <c r="O1199" s="4" t="n"/>
    </row>
    <row r="1200">
      <c r="A1200" s="4" t="inlineStr">
        <is>
          <t>MD-0244</t>
        </is>
      </c>
      <c r="B1200" s="21" t="n">
        <v>46118</v>
      </c>
      <c r="C1200" s="4" t="inlineStr">
        <is>
          <t>Tetuan</t>
        </is>
      </c>
      <c r="D1200" s="4" t="n">
        <v>78</v>
      </c>
      <c r="E1200" s="4" t="inlineStr">
        <is>
          <t>buen estado</t>
        </is>
      </c>
      <c r="F1200" s="22" t="n">
        <v>477000</v>
      </c>
      <c r="G1200" s="23" t="n">
        <v>6115.38</v>
      </c>
      <c r="H1200" s="22" t="n">
        <v>407460</v>
      </c>
      <c r="I1200" s="23" t="n">
        <v>5223.85</v>
      </c>
      <c r="J1200" s="18" t="n">
        <v>0.1707</v>
      </c>
      <c r="K1200" s="24" t="n">
        <v>7.3</v>
      </c>
      <c r="L1200" s="4" t="n">
        <v>19</v>
      </c>
      <c r="M1200" s="4" t="inlineStr">
        <is>
          <t>media</t>
        </is>
      </c>
      <c r="N1200" s="4" t="inlineStr">
        <is>
          <t>por encima de comparables</t>
        </is>
      </c>
      <c r="O1200" s="4" t="n"/>
    </row>
    <row r="1201">
      <c r="A1201" s="4" t="inlineStr">
        <is>
          <t>MD-0025</t>
        </is>
      </c>
      <c r="B1201" s="21" t="n">
        <v>46119</v>
      </c>
      <c r="C1201" s="4" t="inlineStr">
        <is>
          <t>Carabanchel</t>
        </is>
      </c>
      <c r="D1201" s="4" t="n">
        <v>73</v>
      </c>
      <c r="E1201" s="4" t="inlineStr">
        <is>
          <t>reformado</t>
        </is>
      </c>
      <c r="F1201" s="22" t="n">
        <v>205000</v>
      </c>
      <c r="G1201" s="23" t="n">
        <v>2808.22</v>
      </c>
      <c r="H1201" s="22" t="n">
        <v>239786</v>
      </c>
      <c r="I1201" s="23" t="n">
        <v>3284.75</v>
      </c>
      <c r="J1201" s="18" t="n">
        <v>-0.1451</v>
      </c>
      <c r="K1201" s="24" t="n">
        <v>86.3</v>
      </c>
      <c r="L1201" s="4" t="n">
        <v>34</v>
      </c>
      <c r="M1201" s="4" t="inlineStr">
        <is>
          <t>alta</t>
        </is>
      </c>
      <c r="N1201" s="4" t="inlineStr">
        <is>
          <t>por debajo de comparables</t>
        </is>
      </c>
      <c r="O1201" s="4" t="n"/>
    </row>
    <row r="1202">
      <c r="A1202" s="4" t="inlineStr">
        <is>
          <t>MD-0162</t>
        </is>
      </c>
      <c r="B1202" s="21" t="n">
        <v>46119</v>
      </c>
      <c r="C1202" s="4" t="inlineStr">
        <is>
          <t>Puente de Vallecas</t>
        </is>
      </c>
      <c r="D1202" s="4" t="n">
        <v>28</v>
      </c>
      <c r="E1202" s="4" t="inlineStr">
        <is>
          <t>buen estado</t>
        </is>
      </c>
      <c r="F1202" s="22" t="n">
        <v>84000</v>
      </c>
      <c r="G1202" s="23" t="n">
        <v>3000</v>
      </c>
      <c r="H1202" s="22" t="n">
        <v>76493</v>
      </c>
      <c r="I1202" s="23" t="n">
        <v>2731.88</v>
      </c>
      <c r="J1202" s="18" t="n">
        <v>0.09810000000000001</v>
      </c>
      <c r="K1202" s="24" t="n">
        <v>25.5</v>
      </c>
      <c r="L1202" s="4" t="n">
        <v>6</v>
      </c>
      <c r="M1202" s="4" t="inlineStr">
        <is>
          <t>baja</t>
        </is>
      </c>
      <c r="N1202" s="4" t="inlineStr">
        <is>
          <t>en linea con comparables</t>
        </is>
      </c>
      <c r="O1202" s="4" t="n"/>
    </row>
    <row r="1203">
      <c r="A1203" s="4" t="inlineStr">
        <is>
          <t>MD-1216</t>
        </is>
      </c>
      <c r="B1203" s="21" t="n">
        <v>46119</v>
      </c>
      <c r="C1203" s="4" t="inlineStr">
        <is>
          <t>Hortaleza</t>
        </is>
      </c>
      <c r="D1203" s="4" t="n">
        <v>179</v>
      </c>
      <c r="E1203" s="4" t="inlineStr">
        <is>
          <t>buen estado</t>
        </is>
      </c>
      <c r="F1203" s="22" t="n">
        <v>793000</v>
      </c>
      <c r="G1203" s="23" t="n">
        <v>4430.17</v>
      </c>
      <c r="H1203" s="22" t="n">
        <v>702127</v>
      </c>
      <c r="I1203" s="23" t="n">
        <v>3922.5</v>
      </c>
      <c r="J1203" s="18" t="n">
        <v>0.1294</v>
      </c>
      <c r="K1203" s="24" t="n">
        <v>17.6</v>
      </c>
      <c r="L1203" s="4" t="n">
        <v>24</v>
      </c>
      <c r="M1203" s="4" t="inlineStr">
        <is>
          <t>media</t>
        </is>
      </c>
      <c r="N1203" s="4" t="inlineStr">
        <is>
          <t>por encima de comparables</t>
        </is>
      </c>
      <c r="O1203" s="4" t="n"/>
    </row>
    <row r="1204">
      <c r="A1204" s="4" t="inlineStr">
        <is>
          <t>MD-0126</t>
        </is>
      </c>
      <c r="B1204" s="21" t="n">
        <v>46119</v>
      </c>
      <c r="C1204" s="4" t="inlineStr">
        <is>
          <t>Chamartin</t>
        </is>
      </c>
      <c r="D1204" s="4" t="n">
        <v>112</v>
      </c>
      <c r="E1204" s="4" t="inlineStr">
        <is>
          <t>reformado</t>
        </is>
      </c>
      <c r="F1204" s="22" t="n">
        <v>1126000</v>
      </c>
      <c r="G1204" s="23" t="n">
        <v>10053.57</v>
      </c>
      <c r="H1204" s="22" t="n">
        <v>995960</v>
      </c>
      <c r="I1204" s="23" t="n">
        <v>8892.5</v>
      </c>
      <c r="J1204" s="18" t="n">
        <v>0.1306</v>
      </c>
      <c r="K1204" s="24" t="n">
        <v>17.4</v>
      </c>
      <c r="L1204" s="4" t="n">
        <v>22</v>
      </c>
      <c r="M1204" s="4" t="inlineStr">
        <is>
          <t>alta</t>
        </is>
      </c>
      <c r="N1204" s="4" t="inlineStr">
        <is>
          <t>por encima de comparables</t>
        </is>
      </c>
      <c r="O1204" s="4" t="n"/>
    </row>
    <row r="1205">
      <c r="A1205" s="4" t="inlineStr">
        <is>
          <t>MD-0455</t>
        </is>
      </c>
      <c r="B1205" s="21" t="n">
        <v>46120</v>
      </c>
      <c r="C1205" s="4" t="inlineStr">
        <is>
          <t>Hortaleza</t>
        </is>
      </c>
      <c r="D1205" s="4" t="n">
        <v>162</v>
      </c>
      <c r="E1205" s="4" t="inlineStr">
        <is>
          <t>buen estado</t>
        </is>
      </c>
      <c r="F1205" s="22" t="n">
        <v>714000</v>
      </c>
      <c r="G1205" s="23" t="n">
        <v>4407.41</v>
      </c>
      <c r="H1205" s="22" t="n">
        <v>837845</v>
      </c>
      <c r="I1205" s="23" t="n">
        <v>5171.88</v>
      </c>
      <c r="J1205" s="18" t="n">
        <v>-0.1478</v>
      </c>
      <c r="K1205" s="24" t="n">
        <v>87</v>
      </c>
      <c r="L1205" s="4" t="n">
        <v>30</v>
      </c>
      <c r="M1205" s="4" t="inlineStr">
        <is>
          <t>media</t>
        </is>
      </c>
      <c r="N1205" s="4" t="inlineStr">
        <is>
          <t>por debajo de comparables</t>
        </is>
      </c>
      <c r="O1205" s="4" t="n"/>
    </row>
    <row r="1206">
      <c r="A1206" s="4" t="inlineStr">
        <is>
          <t>MD-1694</t>
        </is>
      </c>
      <c r="B1206" s="21" t="n">
        <v>46120</v>
      </c>
      <c r="C1206" s="4" t="inlineStr">
        <is>
          <t>Puente de Vallecas</t>
        </is>
      </c>
      <c r="D1206" s="4" t="n">
        <v>55</v>
      </c>
      <c r="E1206" s="4" t="inlineStr">
        <is>
          <t>buen estado</t>
        </is>
      </c>
      <c r="F1206" s="22" t="n">
        <v>184000</v>
      </c>
      <c r="G1206" s="23" t="n">
        <v>3345.45</v>
      </c>
      <c r="H1206" s="22" t="n">
        <v>153750</v>
      </c>
      <c r="I1206" s="23" t="n">
        <v>2795.45</v>
      </c>
      <c r="J1206" s="18" t="n">
        <v>0.1967</v>
      </c>
      <c r="K1206" s="24" t="n">
        <v>0.8</v>
      </c>
      <c r="L1206" s="4" t="n">
        <v>37</v>
      </c>
      <c r="M1206" s="4" t="inlineStr">
        <is>
          <t>media</t>
        </is>
      </c>
      <c r="N1206" s="4" t="inlineStr">
        <is>
          <t>por encima de comparables</t>
        </is>
      </c>
      <c r="O1206" s="4" t="n"/>
    </row>
    <row r="1207">
      <c r="A1207" s="4" t="inlineStr">
        <is>
          <t>MD-1787</t>
        </is>
      </c>
      <c r="B1207" s="21" t="n">
        <v>46120</v>
      </c>
      <c r="C1207" s="4" t="inlineStr">
        <is>
          <t>Chamberi</t>
        </is>
      </c>
      <c r="D1207" s="4" t="n">
        <v>174</v>
      </c>
      <c r="E1207" s="4" t="inlineStr">
        <is>
          <t>a reformar</t>
        </is>
      </c>
      <c r="F1207" s="22" t="n">
        <v>1228000</v>
      </c>
      <c r="G1207" s="23" t="n">
        <v>7057.47</v>
      </c>
      <c r="H1207" s="22" t="n">
        <v>1210726</v>
      </c>
      <c r="I1207" s="23" t="n">
        <v>6958.19</v>
      </c>
      <c r="J1207" s="18" t="n">
        <v>0.0143</v>
      </c>
      <c r="K1207" s="24" t="n">
        <v>46.4</v>
      </c>
      <c r="L1207" s="4" t="n">
        <v>10</v>
      </c>
      <c r="M1207" s="4" t="inlineStr">
        <is>
          <t>media</t>
        </is>
      </c>
      <c r="N1207" s="4" t="inlineStr">
        <is>
          <t>en linea con comparables</t>
        </is>
      </c>
      <c r="O1207" s="4" t="n"/>
    </row>
    <row r="1208">
      <c r="A1208" s="4" t="inlineStr">
        <is>
          <t>MD-0996</t>
        </is>
      </c>
      <c r="B1208" s="21" t="n">
        <v>46121</v>
      </c>
      <c r="C1208" s="4" t="inlineStr">
        <is>
          <t>San Blas-Canillejas</t>
        </is>
      </c>
      <c r="D1208" s="4" t="n">
        <v>150</v>
      </c>
      <c r="E1208" s="4" t="inlineStr">
        <is>
          <t>a reformar</t>
        </is>
      </c>
      <c r="F1208" s="22" t="n">
        <v>409000</v>
      </c>
      <c r="G1208" s="23" t="n">
        <v>2726.67</v>
      </c>
      <c r="H1208" s="22" t="n">
        <v>502194</v>
      </c>
      <c r="I1208" s="23" t="n">
        <v>3347.96</v>
      </c>
      <c r="J1208" s="18" t="n">
        <v>-0.1856</v>
      </c>
      <c r="K1208" s="24" t="n">
        <v>96.40000000000001</v>
      </c>
      <c r="L1208" s="4" t="n">
        <v>13</v>
      </c>
      <c r="M1208" s="4" t="inlineStr">
        <is>
          <t>media</t>
        </is>
      </c>
      <c r="N1208" s="4" t="inlineStr">
        <is>
          <t>por debajo de comparables</t>
        </is>
      </c>
      <c r="O1208" s="4" t="n"/>
    </row>
    <row r="1209">
      <c r="A1209" s="4" t="inlineStr">
        <is>
          <t>MD-1865</t>
        </is>
      </c>
      <c r="B1209" s="21" t="n">
        <v>46121</v>
      </c>
      <c r="C1209" s="4" t="inlineStr">
        <is>
          <t>Ciudad Lineal</t>
        </is>
      </c>
      <c r="D1209" s="4" t="n">
        <v>62</v>
      </c>
      <c r="E1209" s="4" t="inlineStr">
        <is>
          <t>buen estado</t>
        </is>
      </c>
      <c r="F1209" s="22" t="n">
        <v>314000</v>
      </c>
      <c r="G1209" s="23" t="n">
        <v>5064.52</v>
      </c>
      <c r="H1209" s="22" t="n">
        <v>309063</v>
      </c>
      <c r="I1209" s="23" t="n">
        <v>4984.88</v>
      </c>
      <c r="J1209" s="18" t="n">
        <v>0.016</v>
      </c>
      <c r="K1209" s="24" t="n">
        <v>46</v>
      </c>
      <c r="L1209" s="4" t="n">
        <v>21</v>
      </c>
      <c r="M1209" s="4" t="inlineStr">
        <is>
          <t>media</t>
        </is>
      </c>
      <c r="N1209" s="4" t="inlineStr">
        <is>
          <t>en linea con comparables</t>
        </is>
      </c>
      <c r="O1209" s="4" t="n"/>
    </row>
    <row r="1210">
      <c r="A1210" s="4" t="inlineStr">
        <is>
          <t>MD-0402</t>
        </is>
      </c>
      <c r="B1210" s="21" t="n">
        <v>46121</v>
      </c>
      <c r="C1210" s="4" t="inlineStr">
        <is>
          <t>Puente de Vallecas</t>
        </is>
      </c>
      <c r="D1210" s="4" t="n">
        <v>46</v>
      </c>
      <c r="E1210" s="4" t="inlineStr">
        <is>
          <t>reformado</t>
        </is>
      </c>
      <c r="F1210" s="22" t="n">
        <v>118000</v>
      </c>
      <c r="G1210" s="23" t="n">
        <v>2565.22</v>
      </c>
      <c r="H1210" s="22" t="n">
        <v>143287</v>
      </c>
      <c r="I1210" s="23" t="n">
        <v>3114.92</v>
      </c>
      <c r="J1210" s="18" t="n">
        <v>-0.1765</v>
      </c>
      <c r="K1210" s="24" t="n">
        <v>94.09999999999999</v>
      </c>
      <c r="L1210" s="4" t="n">
        <v>36</v>
      </c>
      <c r="M1210" s="4" t="inlineStr">
        <is>
          <t>alta</t>
        </is>
      </c>
      <c r="N1210" s="4" t="inlineStr">
        <is>
          <t>por debajo de comparables</t>
        </is>
      </c>
      <c r="O1210" s="4" t="n"/>
    </row>
    <row r="1211">
      <c r="A1211" s="4" t="inlineStr">
        <is>
          <t>MD-1676</t>
        </is>
      </c>
      <c r="B1211" s="21" t="n">
        <v>46122</v>
      </c>
      <c r="C1211" s="4" t="inlineStr">
        <is>
          <t>San Blas-Canillejas</t>
        </is>
      </c>
      <c r="D1211" s="4" t="n">
        <v>98</v>
      </c>
      <c r="E1211" s="4" t="inlineStr">
        <is>
          <t>buen estado</t>
        </is>
      </c>
      <c r="F1211" s="22" t="n">
        <v>330000</v>
      </c>
      <c r="G1211" s="23" t="n">
        <v>3367.35</v>
      </c>
      <c r="H1211" s="22" t="n">
        <v>280427</v>
      </c>
      <c r="I1211" s="23" t="n">
        <v>2861.5</v>
      </c>
      <c r="J1211" s="18" t="n">
        <v>0.1768</v>
      </c>
      <c r="K1211" s="24" t="n">
        <v>5.8</v>
      </c>
      <c r="L1211" s="4" t="n">
        <v>20</v>
      </c>
      <c r="M1211" s="4" t="inlineStr">
        <is>
          <t>alta</t>
        </is>
      </c>
      <c r="N1211" s="4" t="inlineStr">
        <is>
          <t>por encima de comparables</t>
        </is>
      </c>
      <c r="O1211" s="4" t="n"/>
    </row>
    <row r="1212">
      <c r="A1212" s="4" t="inlineStr">
        <is>
          <t>MD-1109</t>
        </is>
      </c>
      <c r="B1212" s="21" t="n">
        <v>46122</v>
      </c>
      <c r="C1212" s="4" t="inlineStr">
        <is>
          <t>Puente de Vallecas</t>
        </is>
      </c>
      <c r="D1212" s="4" t="n">
        <v>54</v>
      </c>
      <c r="E1212" s="4" t="inlineStr">
        <is>
          <t>buen estado</t>
        </is>
      </c>
      <c r="F1212" s="22" t="n">
        <v>140000</v>
      </c>
      <c r="G1212" s="23" t="n">
        <v>2592.59</v>
      </c>
      <c r="H1212" s="22" t="n">
        <v>131260</v>
      </c>
      <c r="I1212" s="23" t="n">
        <v>2430.73</v>
      </c>
      <c r="J1212" s="18" t="n">
        <v>0.06660000000000001</v>
      </c>
      <c r="K1212" s="24" t="n">
        <v>33.4</v>
      </c>
      <c r="L1212" s="4" t="n">
        <v>38</v>
      </c>
      <c r="M1212" s="4" t="inlineStr">
        <is>
          <t>media</t>
        </is>
      </c>
      <c r="N1212" s="4" t="inlineStr">
        <is>
          <t>en linea con comparables</t>
        </is>
      </c>
      <c r="O1212" s="4" t="n"/>
    </row>
    <row r="1213">
      <c r="A1213" s="4" t="inlineStr">
        <is>
          <t>MD-0391</t>
        </is>
      </c>
      <c r="B1213" s="21" t="n">
        <v>46122</v>
      </c>
      <c r="C1213" s="4" t="inlineStr">
        <is>
          <t>Ciudad Lineal</t>
        </is>
      </c>
      <c r="D1213" s="4" t="n">
        <v>54</v>
      </c>
      <c r="E1213" s="4" t="inlineStr">
        <is>
          <t>a reformar</t>
        </is>
      </c>
      <c r="F1213" s="22" t="n">
        <v>171000</v>
      </c>
      <c r="G1213" s="23" t="n">
        <v>3166.67</v>
      </c>
      <c r="H1213" s="22" t="n">
        <v>202628</v>
      </c>
      <c r="I1213" s="23" t="n">
        <v>3752.36</v>
      </c>
      <c r="J1213" s="18" t="n">
        <v>-0.1561</v>
      </c>
      <c r="K1213" s="24" t="n">
        <v>89</v>
      </c>
      <c r="L1213" s="4" t="n">
        <v>28</v>
      </c>
      <c r="M1213" s="4" t="inlineStr">
        <is>
          <t>alta</t>
        </is>
      </c>
      <c r="N1213" s="4" t="inlineStr">
        <is>
          <t>por debajo de comparables</t>
        </is>
      </c>
      <c r="O1213" s="4" t="n"/>
    </row>
    <row r="1214">
      <c r="A1214" s="4" t="inlineStr">
        <is>
          <t>MD-1007</t>
        </is>
      </c>
      <c r="B1214" s="21" t="n">
        <v>46122</v>
      </c>
      <c r="C1214" s="4" t="inlineStr">
        <is>
          <t>Centro</t>
        </is>
      </c>
      <c r="D1214" s="4" t="n">
        <v>32</v>
      </c>
      <c r="E1214" s="4" t="inlineStr">
        <is>
          <t>reformado</t>
        </is>
      </c>
      <c r="F1214" s="22" t="n">
        <v>245000</v>
      </c>
      <c r="G1214" s="23" t="n">
        <v>7656.25</v>
      </c>
      <c r="H1214" s="22" t="n">
        <v>297743</v>
      </c>
      <c r="I1214" s="23" t="n">
        <v>9304.48</v>
      </c>
      <c r="J1214" s="18" t="n">
        <v>-0.1771</v>
      </c>
      <c r="K1214" s="24" t="n">
        <v>94.3</v>
      </c>
      <c r="L1214" s="4" t="n">
        <v>14</v>
      </c>
      <c r="M1214" s="4" t="inlineStr">
        <is>
          <t>media</t>
        </is>
      </c>
      <c r="N1214" s="4" t="inlineStr">
        <is>
          <t>por debajo de comparables</t>
        </is>
      </c>
      <c r="O1214" s="4" t="n"/>
    </row>
    <row r="1215">
      <c r="A1215" s="4" t="inlineStr">
        <is>
          <t>MD-1621</t>
        </is>
      </c>
      <c r="B1215" s="21" t="n">
        <v>46122</v>
      </c>
      <c r="C1215" s="4" t="inlineStr">
        <is>
          <t>Ciudad Lineal</t>
        </is>
      </c>
      <c r="D1215" s="4" t="n">
        <v>51</v>
      </c>
      <c r="E1215" s="4" t="inlineStr">
        <is>
          <t>buen estado</t>
        </is>
      </c>
      <c r="F1215" s="22" t="n">
        <v>257000</v>
      </c>
      <c r="G1215" s="23" t="n">
        <v>5039.22</v>
      </c>
      <c r="H1215" s="22" t="n">
        <v>243086</v>
      </c>
      <c r="I1215" s="23" t="n">
        <v>4766.4</v>
      </c>
      <c r="J1215" s="18" t="n">
        <v>0.0572</v>
      </c>
      <c r="K1215" s="24" t="n">
        <v>35.7</v>
      </c>
      <c r="L1215" s="4" t="n">
        <v>28</v>
      </c>
      <c r="M1215" s="4" t="inlineStr">
        <is>
          <t>alta</t>
        </is>
      </c>
      <c r="N1215" s="4" t="inlineStr">
        <is>
          <t>en linea con comparables</t>
        </is>
      </c>
      <c r="O1215" s="4" t="n"/>
    </row>
    <row r="1216">
      <c r="A1216" s="4" t="inlineStr">
        <is>
          <t>MD-1116</t>
        </is>
      </c>
      <c r="B1216" s="21" t="n">
        <v>46122</v>
      </c>
      <c r="C1216" s="4" t="inlineStr">
        <is>
          <t>Salamanca</t>
        </is>
      </c>
      <c r="D1216" s="4" t="n">
        <v>30</v>
      </c>
      <c r="E1216" s="4" t="inlineStr">
        <is>
          <t>a reformar</t>
        </is>
      </c>
      <c r="F1216" s="22" t="n">
        <v>156000</v>
      </c>
      <c r="G1216" s="23" t="n">
        <v>5200</v>
      </c>
      <c r="H1216" s="22" t="n">
        <v>159808</v>
      </c>
      <c r="I1216" s="23" t="n">
        <v>5326.94</v>
      </c>
      <c r="J1216" s="18" t="n">
        <v>-0.0238</v>
      </c>
      <c r="K1216" s="24" t="n">
        <v>56</v>
      </c>
      <c r="L1216" s="4" t="n">
        <v>6</v>
      </c>
      <c r="M1216" s="4" t="inlineStr">
        <is>
          <t>baja</t>
        </is>
      </c>
      <c r="N1216" s="4" t="inlineStr">
        <is>
          <t>en linea con comparables</t>
        </is>
      </c>
      <c r="O1216" s="4" t="n"/>
    </row>
    <row r="1217">
      <c r="A1217" s="4" t="inlineStr">
        <is>
          <t>MD-0091</t>
        </is>
      </c>
      <c r="B1217" s="21" t="n">
        <v>46122</v>
      </c>
      <c r="C1217" s="4" t="inlineStr">
        <is>
          <t>Ciudad Lineal</t>
        </is>
      </c>
      <c r="D1217" s="4" t="n">
        <v>127</v>
      </c>
      <c r="E1217" s="4" t="inlineStr">
        <is>
          <t>reformado</t>
        </is>
      </c>
      <c r="F1217" s="22" t="n">
        <v>649000</v>
      </c>
      <c r="G1217" s="23" t="n">
        <v>5110.24</v>
      </c>
      <c r="H1217" s="22" t="n"/>
      <c r="I1217" s="23" t="n"/>
      <c r="J1217" s="18" t="n"/>
      <c r="K1217" s="24" t="n"/>
      <c r="L1217" s="4" t="n">
        <v>4</v>
      </c>
      <c r="M1217" s="4" t="inlineStr">
        <is>
          <t>sin muestra</t>
        </is>
      </c>
      <c r="N1217" s="4" t="inlineStr">
        <is>
          <t>no valorable</t>
        </is>
      </c>
      <c r="O1217" s="4" t="inlineStr">
        <is>
          <t>segmento con pocas operaciones comparables</t>
        </is>
      </c>
    </row>
    <row r="1218">
      <c r="A1218" s="4" t="inlineStr">
        <is>
          <t>MD-1163</t>
        </is>
      </c>
      <c r="B1218" s="21" t="n">
        <v>46122</v>
      </c>
      <c r="C1218" s="4" t="inlineStr">
        <is>
          <t>Usera</t>
        </is>
      </c>
      <c r="D1218" s="4" t="n">
        <v>82</v>
      </c>
      <c r="E1218" s="4" t="inlineStr">
        <is>
          <t>reformado</t>
        </is>
      </c>
      <c r="F1218" s="22" t="n">
        <v>268000</v>
      </c>
      <c r="G1218" s="23" t="n">
        <v>3268.29</v>
      </c>
      <c r="H1218" s="22" t="n">
        <v>257833</v>
      </c>
      <c r="I1218" s="23" t="n">
        <v>3144.3</v>
      </c>
      <c r="J1218" s="18" t="n">
        <v>0.0394</v>
      </c>
      <c r="K1218" s="24" t="n">
        <v>40.1</v>
      </c>
      <c r="L1218" s="4" t="n">
        <v>13</v>
      </c>
      <c r="M1218" s="4" t="inlineStr">
        <is>
          <t>media</t>
        </is>
      </c>
      <c r="N1218" s="4" t="inlineStr">
        <is>
          <t>en linea con comparables</t>
        </is>
      </c>
      <c r="O1218" s="4" t="n"/>
    </row>
    <row r="1219">
      <c r="A1219" s="4" t="inlineStr">
        <is>
          <t>MD-0141</t>
        </is>
      </c>
      <c r="B1219" s="21" t="n">
        <v>46122</v>
      </c>
      <c r="C1219" s="4" t="inlineStr">
        <is>
          <t>Salamanca</t>
        </is>
      </c>
      <c r="D1219" s="4" t="n">
        <v>105</v>
      </c>
      <c r="E1219" s="4" t="inlineStr">
        <is>
          <t>obra nueva</t>
        </is>
      </c>
      <c r="F1219" s="22" t="n">
        <v>1096000</v>
      </c>
      <c r="G1219" s="23" t="n">
        <v>10438.1</v>
      </c>
      <c r="H1219" s="22" t="n">
        <v>1022938</v>
      </c>
      <c r="I1219" s="23" t="n">
        <v>9742.26</v>
      </c>
      <c r="J1219" s="18" t="n">
        <v>0.07140000000000001</v>
      </c>
      <c r="K1219" s="24" t="n">
        <v>32.1</v>
      </c>
      <c r="L1219" s="4" t="n">
        <v>11</v>
      </c>
      <c r="M1219" s="4" t="inlineStr">
        <is>
          <t>media</t>
        </is>
      </c>
      <c r="N1219" s="4" t="inlineStr">
        <is>
          <t>en linea con comparables</t>
        </is>
      </c>
      <c r="O1219" s="4" t="n"/>
    </row>
    <row r="1220">
      <c r="A1220" s="4" t="inlineStr">
        <is>
          <t>MD-0388</t>
        </is>
      </c>
      <c r="B1220" s="21" t="n">
        <v>46123</v>
      </c>
      <c r="C1220" s="4" t="inlineStr">
        <is>
          <t>Ciudad Lineal</t>
        </is>
      </c>
      <c r="D1220" s="4" t="n">
        <v>56</v>
      </c>
      <c r="E1220" s="4" t="inlineStr">
        <is>
          <t>buen estado</t>
        </is>
      </c>
      <c r="F1220" s="22" t="n">
        <v>274000</v>
      </c>
      <c r="G1220" s="23" t="n">
        <v>4892.86</v>
      </c>
      <c r="H1220" s="22" t="n">
        <v>278308</v>
      </c>
      <c r="I1220" s="23" t="n">
        <v>4969.78</v>
      </c>
      <c r="J1220" s="18" t="n">
        <v>-0.0155</v>
      </c>
      <c r="K1220" s="24" t="n">
        <v>53.9</v>
      </c>
      <c r="L1220" s="4" t="n">
        <v>32</v>
      </c>
      <c r="M1220" s="4" t="inlineStr">
        <is>
          <t>media</t>
        </is>
      </c>
      <c r="N1220" s="4" t="inlineStr">
        <is>
          <t>en linea con comparables</t>
        </is>
      </c>
      <c r="O1220" s="4" t="n"/>
    </row>
    <row r="1221">
      <c r="A1221" s="4" t="inlineStr">
        <is>
          <t>MD-0719</t>
        </is>
      </c>
      <c r="B1221" s="21" t="n">
        <v>46124</v>
      </c>
      <c r="C1221" s="4" t="inlineStr">
        <is>
          <t>Fuencarral-El Pardo</t>
        </is>
      </c>
      <c r="D1221" s="4" t="n">
        <v>85</v>
      </c>
      <c r="E1221" s="4" t="inlineStr">
        <is>
          <t>buen estado</t>
        </is>
      </c>
      <c r="F1221" s="22" t="n">
        <v>550000</v>
      </c>
      <c r="G1221" s="23" t="n">
        <v>6470.59</v>
      </c>
      <c r="H1221" s="22" t="n">
        <v>470818</v>
      </c>
      <c r="I1221" s="23" t="n">
        <v>5539.03</v>
      </c>
      <c r="J1221" s="18" t="n">
        <v>0.1682</v>
      </c>
      <c r="K1221" s="24" t="n">
        <v>8</v>
      </c>
      <c r="L1221" s="4" t="n">
        <v>26</v>
      </c>
      <c r="M1221" s="4" t="inlineStr">
        <is>
          <t>alta</t>
        </is>
      </c>
      <c r="N1221" s="4" t="inlineStr">
        <is>
          <t>por encima de comparables</t>
        </is>
      </c>
      <c r="O1221" s="4" t="n"/>
    </row>
    <row r="1222">
      <c r="A1222" s="4" t="inlineStr">
        <is>
          <t>MD-1194</t>
        </is>
      </c>
      <c r="B1222" s="21" t="n">
        <v>46124</v>
      </c>
      <c r="C1222" s="4" t="inlineStr">
        <is>
          <t>San Blas-Canillejas</t>
        </is>
      </c>
      <c r="D1222" s="4" t="n">
        <v>93</v>
      </c>
      <c r="E1222" s="4" t="inlineStr">
        <is>
          <t>buen estado</t>
        </is>
      </c>
      <c r="F1222" s="22" t="n">
        <v>405000</v>
      </c>
      <c r="G1222" s="23" t="n">
        <v>4354.84</v>
      </c>
      <c r="H1222" s="22" t="n">
        <v>358136</v>
      </c>
      <c r="I1222" s="23" t="n">
        <v>3850.92</v>
      </c>
      <c r="J1222" s="18" t="n">
        <v>0.1309</v>
      </c>
      <c r="K1222" s="24" t="n">
        <v>17.3</v>
      </c>
      <c r="L1222" s="4" t="n">
        <v>19</v>
      </c>
      <c r="M1222" s="4" t="inlineStr">
        <is>
          <t>alta</t>
        </is>
      </c>
      <c r="N1222" s="4" t="inlineStr">
        <is>
          <t>por encima de comparables</t>
        </is>
      </c>
      <c r="O1222" s="4" t="n"/>
    </row>
    <row r="1223">
      <c r="A1223" s="4" t="inlineStr">
        <is>
          <t>MD-1352</t>
        </is>
      </c>
      <c r="B1223" s="21" t="n">
        <v>46124</v>
      </c>
      <c r="C1223" s="4" t="inlineStr">
        <is>
          <t>Chamberi</t>
        </is>
      </c>
      <c r="D1223" s="4" t="n">
        <v>164</v>
      </c>
      <c r="E1223" s="4" t="inlineStr">
        <is>
          <t>a reformar</t>
        </is>
      </c>
      <c r="F1223" s="22" t="n">
        <v>991000</v>
      </c>
      <c r="G1223" s="23" t="n">
        <v>6042.68</v>
      </c>
      <c r="H1223" s="22" t="n">
        <v>868330</v>
      </c>
      <c r="I1223" s="23" t="n">
        <v>5294.7</v>
      </c>
      <c r="J1223" s="18" t="n">
        <v>0.1413</v>
      </c>
      <c r="K1223" s="24" t="n">
        <v>14.7</v>
      </c>
      <c r="L1223" s="4" t="n">
        <v>12</v>
      </c>
      <c r="M1223" s="4" t="inlineStr">
        <is>
          <t>media</t>
        </is>
      </c>
      <c r="N1223" s="4" t="inlineStr">
        <is>
          <t>por encima de comparables</t>
        </is>
      </c>
      <c r="O1223" s="4" t="n"/>
    </row>
    <row r="1224">
      <c r="A1224" s="4" t="inlineStr">
        <is>
          <t>MD-1889</t>
        </is>
      </c>
      <c r="B1224" s="21" t="n">
        <v>46124</v>
      </c>
      <c r="C1224" s="4" t="inlineStr">
        <is>
          <t>Chamberi</t>
        </is>
      </c>
      <c r="D1224" s="4" t="n">
        <v>39</v>
      </c>
      <c r="E1224" s="4" t="inlineStr">
        <is>
          <t>reformado</t>
        </is>
      </c>
      <c r="F1224" s="22" t="n">
        <v>362000</v>
      </c>
      <c r="G1224" s="23" t="n">
        <v>9282.049999999999</v>
      </c>
      <c r="H1224" s="22" t="n">
        <v>337875</v>
      </c>
      <c r="I1224" s="23" t="n">
        <v>8663.459999999999</v>
      </c>
      <c r="J1224" s="18" t="n">
        <v>0.07140000000000001</v>
      </c>
      <c r="K1224" s="24" t="n">
        <v>32.1</v>
      </c>
      <c r="L1224" s="4" t="n">
        <v>7</v>
      </c>
      <c r="M1224" s="4" t="inlineStr">
        <is>
          <t>baja</t>
        </is>
      </c>
      <c r="N1224" s="4" t="inlineStr">
        <is>
          <t>en linea con comparables</t>
        </is>
      </c>
      <c r="O1224" s="4" t="n"/>
    </row>
    <row r="1225">
      <c r="A1225" s="4" t="inlineStr">
        <is>
          <t>MD-0531</t>
        </is>
      </c>
      <c r="B1225" s="21" t="n">
        <v>46124</v>
      </c>
      <c r="C1225" s="4" t="inlineStr">
        <is>
          <t>Latina</t>
        </is>
      </c>
      <c r="D1225" s="4" t="n">
        <v>62</v>
      </c>
      <c r="E1225" s="4" t="inlineStr">
        <is>
          <t>obra nueva</t>
        </is>
      </c>
      <c r="F1225" s="22" t="n">
        <v>211000</v>
      </c>
      <c r="G1225" s="23" t="n">
        <v>3403.23</v>
      </c>
      <c r="H1225" s="22" t="n">
        <v>237046</v>
      </c>
      <c r="I1225" s="23" t="n">
        <v>3823.32</v>
      </c>
      <c r="J1225" s="18" t="n">
        <v>-0.1099</v>
      </c>
      <c r="K1225" s="24" t="n">
        <v>77.5</v>
      </c>
      <c r="L1225" s="4" t="n">
        <v>39</v>
      </c>
      <c r="M1225" s="4" t="inlineStr">
        <is>
          <t>media</t>
        </is>
      </c>
      <c r="N1225" s="4" t="inlineStr">
        <is>
          <t>por debajo de comparables</t>
        </is>
      </c>
      <c r="O1225" s="4" t="n"/>
    </row>
    <row r="1226">
      <c r="A1226" s="4" t="inlineStr">
        <is>
          <t>MD-1769</t>
        </is>
      </c>
      <c r="B1226" s="21" t="n">
        <v>46124</v>
      </c>
      <c r="C1226" s="4" t="inlineStr">
        <is>
          <t>Villaverde</t>
        </is>
      </c>
      <c r="D1226" s="4" t="n">
        <v>72</v>
      </c>
      <c r="E1226" s="4" t="inlineStr">
        <is>
          <t>reformado</t>
        </is>
      </c>
      <c r="F1226" s="22" t="n">
        <v>230000</v>
      </c>
      <c r="G1226" s="23" t="n">
        <v>3194.44</v>
      </c>
      <c r="H1226" s="22" t="n">
        <v>179807</v>
      </c>
      <c r="I1226" s="23" t="n">
        <v>2497.32</v>
      </c>
      <c r="J1226" s="18" t="n">
        <v>0.2791</v>
      </c>
      <c r="K1226" s="24" t="n">
        <v>0</v>
      </c>
      <c r="L1226" s="4" t="n">
        <v>9</v>
      </c>
      <c r="M1226" s="4" t="inlineStr">
        <is>
          <t>media</t>
        </is>
      </c>
      <c r="N1226" s="4" t="inlineStr">
        <is>
          <t>por encima de comparables</t>
        </is>
      </c>
      <c r="O1226" s="4" t="n"/>
    </row>
    <row r="1227">
      <c r="A1227" s="4" t="inlineStr">
        <is>
          <t>MD-0342</t>
        </is>
      </c>
      <c r="B1227" s="21" t="n">
        <v>46125</v>
      </c>
      <c r="C1227" s="4" t="inlineStr">
        <is>
          <t>Arganzuela</t>
        </is>
      </c>
      <c r="D1227" s="4" t="n">
        <v>66</v>
      </c>
      <c r="E1227" s="4" t="inlineStr">
        <is>
          <t>buen estado</t>
        </is>
      </c>
      <c r="F1227" s="22" t="n">
        <v>364000</v>
      </c>
      <c r="G1227" s="23" t="n">
        <v>5515.15</v>
      </c>
      <c r="H1227" s="22" t="n">
        <v>409387</v>
      </c>
      <c r="I1227" s="23" t="n">
        <v>6202.84</v>
      </c>
      <c r="J1227" s="18" t="n">
        <v>-0.1109</v>
      </c>
      <c r="K1227" s="24" t="n">
        <v>77.7</v>
      </c>
      <c r="L1227" s="4" t="n">
        <v>23</v>
      </c>
      <c r="M1227" s="4" t="inlineStr">
        <is>
          <t>media</t>
        </is>
      </c>
      <c r="N1227" s="4" t="inlineStr">
        <is>
          <t>por debajo de comparables</t>
        </is>
      </c>
      <c r="O1227" s="4" t="n"/>
    </row>
    <row r="1228">
      <c r="A1228" s="4" t="inlineStr">
        <is>
          <t>MD-1122</t>
        </is>
      </c>
      <c r="B1228" s="21" t="n">
        <v>46125</v>
      </c>
      <c r="C1228" s="4" t="inlineStr">
        <is>
          <t>San Blas-Canillejas</t>
        </is>
      </c>
      <c r="D1228" s="4" t="n">
        <v>69</v>
      </c>
      <c r="E1228" s="4" t="inlineStr">
        <is>
          <t>buen estado</t>
        </is>
      </c>
      <c r="F1228" s="22" t="n">
        <v>236000</v>
      </c>
      <c r="G1228" s="23" t="n">
        <v>3420.29</v>
      </c>
      <c r="H1228" s="22" t="n">
        <v>273604</v>
      </c>
      <c r="I1228" s="23" t="n">
        <v>3965.28</v>
      </c>
      <c r="J1228" s="18" t="n">
        <v>-0.1374</v>
      </c>
      <c r="K1228" s="24" t="n">
        <v>84.40000000000001</v>
      </c>
      <c r="L1228" s="4" t="n">
        <v>16</v>
      </c>
      <c r="M1228" s="4" t="inlineStr">
        <is>
          <t>alta</t>
        </is>
      </c>
      <c r="N1228" s="4" t="inlineStr">
        <is>
          <t>por debajo de comparables</t>
        </is>
      </c>
      <c r="O1228" s="4" t="n"/>
    </row>
    <row r="1229">
      <c r="A1229" s="4" t="inlineStr">
        <is>
          <t>MD-1096</t>
        </is>
      </c>
      <c r="B1229" s="21" t="n">
        <v>46125</v>
      </c>
      <c r="C1229" s="4" t="inlineStr">
        <is>
          <t>Ciudad Lineal</t>
        </is>
      </c>
      <c r="D1229" s="4" t="n">
        <v>66</v>
      </c>
      <c r="E1229" s="4" t="inlineStr">
        <is>
          <t>obra nueva</t>
        </is>
      </c>
      <c r="F1229" s="22" t="n">
        <v>357000</v>
      </c>
      <c r="G1229" s="23" t="n">
        <v>5409.09</v>
      </c>
      <c r="H1229" s="22" t="n">
        <v>389023</v>
      </c>
      <c r="I1229" s="23" t="n">
        <v>5894.29</v>
      </c>
      <c r="J1229" s="18" t="n">
        <v>-0.0823</v>
      </c>
      <c r="K1229" s="24" t="n">
        <v>70.59999999999999</v>
      </c>
      <c r="L1229" s="4" t="n">
        <v>26</v>
      </c>
      <c r="M1229" s="4" t="inlineStr">
        <is>
          <t>media</t>
        </is>
      </c>
      <c r="N1229" s="4" t="inlineStr">
        <is>
          <t>en linea con comparables</t>
        </is>
      </c>
      <c r="O1229" s="4" t="n"/>
    </row>
    <row r="1230">
      <c r="A1230" s="4" t="inlineStr">
        <is>
          <t>MD-0058</t>
        </is>
      </c>
      <c r="B1230" s="21" t="n">
        <v>46125</v>
      </c>
      <c r="C1230" s="4" t="inlineStr">
        <is>
          <t>Tetuan</t>
        </is>
      </c>
      <c r="D1230" s="4" t="n">
        <v>63</v>
      </c>
      <c r="E1230" s="4" t="inlineStr">
        <is>
          <t>reformado</t>
        </is>
      </c>
      <c r="F1230" s="22" t="n">
        <v>358000</v>
      </c>
      <c r="G1230" s="23" t="n">
        <v>5682.54</v>
      </c>
      <c r="H1230" s="22" t="n">
        <v>354529</v>
      </c>
      <c r="I1230" s="23" t="n">
        <v>5627.45</v>
      </c>
      <c r="J1230" s="18" t="n">
        <v>0.0098</v>
      </c>
      <c r="K1230" s="24" t="n">
        <v>47.6</v>
      </c>
      <c r="L1230" s="4" t="n">
        <v>17</v>
      </c>
      <c r="M1230" s="4" t="inlineStr">
        <is>
          <t>alta</t>
        </is>
      </c>
      <c r="N1230" s="4" t="inlineStr">
        <is>
          <t>en linea con comparables</t>
        </is>
      </c>
      <c r="O1230" s="4" t="n"/>
    </row>
    <row r="1231">
      <c r="A1231" s="4" t="inlineStr">
        <is>
          <t>MD-0509</t>
        </is>
      </c>
      <c r="B1231" s="21" t="n">
        <v>46126</v>
      </c>
      <c r="C1231" s="4" t="inlineStr">
        <is>
          <t>Centro</t>
        </is>
      </c>
      <c r="D1231" s="4" t="n">
        <v>56</v>
      </c>
      <c r="E1231" s="4" t="inlineStr">
        <is>
          <t>reformado</t>
        </is>
      </c>
      <c r="F1231" s="22" t="n">
        <v>475000</v>
      </c>
      <c r="G1231" s="23" t="n">
        <v>8482.139999999999</v>
      </c>
      <c r="H1231" s="22" t="n">
        <v>436610</v>
      </c>
      <c r="I1231" s="23" t="n">
        <v>7796.61</v>
      </c>
      <c r="J1231" s="18" t="n">
        <v>0.08790000000000001</v>
      </c>
      <c r="K1231" s="24" t="n">
        <v>28</v>
      </c>
      <c r="L1231" s="4" t="n">
        <v>22</v>
      </c>
      <c r="M1231" s="4" t="inlineStr">
        <is>
          <t>alta</t>
        </is>
      </c>
      <c r="N1231" s="4" t="inlineStr">
        <is>
          <t>en linea con comparables</t>
        </is>
      </c>
      <c r="O1231" s="4" t="n"/>
    </row>
    <row r="1232">
      <c r="A1232" s="4" t="inlineStr">
        <is>
          <t>MD-0087</t>
        </is>
      </c>
      <c r="B1232" s="21" t="n">
        <v>46126</v>
      </c>
      <c r="C1232" s="4" t="inlineStr">
        <is>
          <t>Puente de Vallecas</t>
        </is>
      </c>
      <c r="D1232" s="4" t="n">
        <v>127</v>
      </c>
      <c r="E1232" s="4" t="inlineStr">
        <is>
          <t>a reformar</t>
        </is>
      </c>
      <c r="F1232" s="22" t="n">
        <v>314000</v>
      </c>
      <c r="G1232" s="23" t="n">
        <v>2472.44</v>
      </c>
      <c r="H1232" s="22" t="n">
        <v>312118</v>
      </c>
      <c r="I1232" s="23" t="n">
        <v>2457.62</v>
      </c>
      <c r="J1232" s="18" t="n">
        <v>0.006</v>
      </c>
      <c r="K1232" s="24" t="n">
        <v>48.5</v>
      </c>
      <c r="L1232" s="4" t="n">
        <v>7</v>
      </c>
      <c r="M1232" s="4" t="inlineStr">
        <is>
          <t>baja</t>
        </is>
      </c>
      <c r="N1232" s="4" t="inlineStr">
        <is>
          <t>en linea con comparables</t>
        </is>
      </c>
      <c r="O1232" s="4" t="n"/>
    </row>
    <row r="1233">
      <c r="A1233" s="4" t="inlineStr">
        <is>
          <t>MD-1479</t>
        </is>
      </c>
      <c r="B1233" s="21" t="n">
        <v>46126</v>
      </c>
      <c r="C1233" s="4" t="inlineStr">
        <is>
          <t>Moratalaz</t>
        </is>
      </c>
      <c r="D1233" s="4" t="n">
        <v>66</v>
      </c>
      <c r="E1233" s="4" t="inlineStr">
        <is>
          <t>buen estado</t>
        </is>
      </c>
      <c r="F1233" s="22" t="n">
        <v>219000</v>
      </c>
      <c r="G1233" s="23" t="n">
        <v>3318.18</v>
      </c>
      <c r="H1233" s="22" t="n">
        <v>203462</v>
      </c>
      <c r="I1233" s="23" t="n">
        <v>3082.76</v>
      </c>
      <c r="J1233" s="18" t="n">
        <v>0.0764</v>
      </c>
      <c r="K1233" s="24" t="n">
        <v>30.9</v>
      </c>
      <c r="L1233" s="4" t="n">
        <v>14</v>
      </c>
      <c r="M1233" s="4" t="inlineStr">
        <is>
          <t>media</t>
        </is>
      </c>
      <c r="N1233" s="4" t="inlineStr">
        <is>
          <t>en linea con comparables</t>
        </is>
      </c>
      <c r="O1233" s="4" t="n"/>
    </row>
    <row r="1234">
      <c r="A1234" s="4" t="inlineStr">
        <is>
          <t>MD-1217</t>
        </is>
      </c>
      <c r="B1234" s="21" t="n">
        <v>46126</v>
      </c>
      <c r="C1234" s="4" t="inlineStr">
        <is>
          <t>Carabanchel</t>
        </is>
      </c>
      <c r="D1234" s="4" t="n">
        <v>29</v>
      </c>
      <c r="E1234" s="4" t="inlineStr">
        <is>
          <t>a reformar</t>
        </is>
      </c>
      <c r="F1234" s="22" t="n">
        <v>82000</v>
      </c>
      <c r="G1234" s="23" t="n">
        <v>2827.59</v>
      </c>
      <c r="H1234" s="22" t="n"/>
      <c r="I1234" s="23" t="n"/>
      <c r="J1234" s="18" t="n"/>
      <c r="K1234" s="24" t="n"/>
      <c r="L1234" s="4" t="n">
        <v>3</v>
      </c>
      <c r="M1234" s="4" t="inlineStr">
        <is>
          <t>sin muestra</t>
        </is>
      </c>
      <c r="N1234" s="4" t="inlineStr">
        <is>
          <t>no valorable</t>
        </is>
      </c>
      <c r="O1234" s="4" t="inlineStr">
        <is>
          <t>segmento con pocas operaciones comparables</t>
        </is>
      </c>
    </row>
    <row r="1235">
      <c r="A1235" s="4" t="inlineStr">
        <is>
          <t>MD-0795</t>
        </is>
      </c>
      <c r="B1235" s="21" t="n">
        <v>46126</v>
      </c>
      <c r="C1235" s="4" t="inlineStr">
        <is>
          <t>Puente de Vallecas</t>
        </is>
      </c>
      <c r="D1235" s="4" t="n">
        <v>40</v>
      </c>
      <c r="E1235" s="4" t="inlineStr">
        <is>
          <t>a reformar</t>
        </is>
      </c>
      <c r="F1235" s="22" t="n">
        <v>121000</v>
      </c>
      <c r="G1235" s="23" t="n">
        <v>3025</v>
      </c>
      <c r="H1235" s="22" t="n">
        <v>96386</v>
      </c>
      <c r="I1235" s="23" t="n">
        <v>2409.65</v>
      </c>
      <c r="J1235" s="18" t="n">
        <v>0.2554</v>
      </c>
      <c r="K1235" s="24" t="n">
        <v>0</v>
      </c>
      <c r="L1235" s="4" t="n">
        <v>26</v>
      </c>
      <c r="M1235" s="4" t="inlineStr">
        <is>
          <t>alta</t>
        </is>
      </c>
      <c r="N1235" s="4" t="inlineStr">
        <is>
          <t>por encima de comparables</t>
        </is>
      </c>
      <c r="O1235" s="4" t="n"/>
    </row>
    <row r="1236">
      <c r="A1236" s="4" t="inlineStr">
        <is>
          <t>MD-0563</t>
        </is>
      </c>
      <c r="B1236" s="21" t="n">
        <v>46126</v>
      </c>
      <c r="C1236" s="4" t="inlineStr">
        <is>
          <t>Barajas</t>
        </is>
      </c>
      <c r="D1236" s="4" t="n">
        <v>74</v>
      </c>
      <c r="E1236" s="4" t="inlineStr">
        <is>
          <t>a reformar</t>
        </is>
      </c>
      <c r="F1236" s="22" t="n">
        <v>243000</v>
      </c>
      <c r="G1236" s="23" t="n">
        <v>3283.78</v>
      </c>
      <c r="H1236" s="22" t="n">
        <v>259561</v>
      </c>
      <c r="I1236" s="23" t="n">
        <v>3507.59</v>
      </c>
      <c r="J1236" s="18" t="n">
        <v>-0.0638</v>
      </c>
      <c r="K1236" s="24" t="n">
        <v>66</v>
      </c>
      <c r="L1236" s="4" t="n">
        <v>8</v>
      </c>
      <c r="M1236" s="4" t="inlineStr">
        <is>
          <t>media</t>
        </is>
      </c>
      <c r="N1236" s="4" t="inlineStr">
        <is>
          <t>en linea con comparables</t>
        </is>
      </c>
      <c r="O1236" s="4" t="n"/>
    </row>
    <row r="1237">
      <c r="A1237" s="4" t="inlineStr">
        <is>
          <t>MD-1219</t>
        </is>
      </c>
      <c r="B1237" s="21" t="n">
        <v>46126</v>
      </c>
      <c r="C1237" s="4" t="inlineStr">
        <is>
          <t>Fuencarral-El Pardo</t>
        </is>
      </c>
      <c r="D1237" s="4" t="n">
        <v>60</v>
      </c>
      <c r="E1237" s="4" t="inlineStr">
        <is>
          <t>obra nueva</t>
        </is>
      </c>
      <c r="F1237" s="22" t="n">
        <v>426000</v>
      </c>
      <c r="G1237" s="23" t="n">
        <v>7100</v>
      </c>
      <c r="H1237" s="22" t="n">
        <v>341493</v>
      </c>
      <c r="I1237" s="23" t="n">
        <v>5691.55</v>
      </c>
      <c r="J1237" s="18" t="n">
        <v>0.2475</v>
      </c>
      <c r="K1237" s="24" t="n">
        <v>0</v>
      </c>
      <c r="L1237" s="4" t="n">
        <v>19</v>
      </c>
      <c r="M1237" s="4" t="inlineStr">
        <is>
          <t>media</t>
        </is>
      </c>
      <c r="N1237" s="4" t="inlineStr">
        <is>
          <t>por encima de comparables</t>
        </is>
      </c>
      <c r="O1237" s="4" t="n"/>
    </row>
    <row r="1238">
      <c r="A1238" s="4" t="inlineStr">
        <is>
          <t>MD-1172</t>
        </is>
      </c>
      <c r="B1238" s="21" t="n">
        <v>46126</v>
      </c>
      <c r="C1238" s="4" t="inlineStr">
        <is>
          <t>Tetuan</t>
        </is>
      </c>
      <c r="D1238" s="4" t="n">
        <v>177</v>
      </c>
      <c r="E1238" s="4" t="inlineStr">
        <is>
          <t>reformado</t>
        </is>
      </c>
      <c r="F1238" s="22" t="n">
        <v>937000</v>
      </c>
      <c r="G1238" s="23" t="n">
        <v>5293.79</v>
      </c>
      <c r="H1238" s="22" t="n">
        <v>821536</v>
      </c>
      <c r="I1238" s="23" t="n">
        <v>4641.45</v>
      </c>
      <c r="J1238" s="18" t="n">
        <v>0.1405</v>
      </c>
      <c r="K1238" s="24" t="n">
        <v>14.9</v>
      </c>
      <c r="L1238" s="4" t="n">
        <v>6</v>
      </c>
      <c r="M1238" s="4" t="inlineStr">
        <is>
          <t>baja</t>
        </is>
      </c>
      <c r="N1238" s="4" t="inlineStr">
        <is>
          <t>por encima de comparables</t>
        </is>
      </c>
      <c r="O1238" s="4" t="n"/>
    </row>
    <row r="1239">
      <c r="A1239" s="4" t="inlineStr">
        <is>
          <t>MD-0861</t>
        </is>
      </c>
      <c r="B1239" s="21" t="n">
        <v>46127</v>
      </c>
      <c r="C1239" s="4" t="inlineStr">
        <is>
          <t>Latina</t>
        </is>
      </c>
      <c r="D1239" s="4" t="n">
        <v>51</v>
      </c>
      <c r="E1239" s="4" t="inlineStr">
        <is>
          <t>reformado</t>
        </is>
      </c>
      <c r="F1239" s="22" t="n">
        <v>160000</v>
      </c>
      <c r="G1239" s="23" t="n">
        <v>3137.25</v>
      </c>
      <c r="H1239" s="22" t="n">
        <v>176559</v>
      </c>
      <c r="I1239" s="23" t="n">
        <v>3461.95</v>
      </c>
      <c r="J1239" s="18" t="n">
        <v>-0.09379999999999999</v>
      </c>
      <c r="K1239" s="24" t="n">
        <v>73.40000000000001</v>
      </c>
      <c r="L1239" s="4" t="n">
        <v>32</v>
      </c>
      <c r="M1239" s="4" t="inlineStr">
        <is>
          <t>alta</t>
        </is>
      </c>
      <c r="N1239" s="4" t="inlineStr">
        <is>
          <t>en linea con comparables</t>
        </is>
      </c>
      <c r="O1239" s="4" t="n"/>
    </row>
    <row r="1240">
      <c r="A1240" s="4" t="inlineStr">
        <is>
          <t>MD-1404</t>
        </is>
      </c>
      <c r="B1240" s="21" t="n">
        <v>46127</v>
      </c>
      <c r="C1240" s="4" t="inlineStr">
        <is>
          <t>Arganzuela</t>
        </is>
      </c>
      <c r="D1240" s="4" t="n">
        <v>64</v>
      </c>
      <c r="E1240" s="4" t="inlineStr">
        <is>
          <t>a reformar</t>
        </is>
      </c>
      <c r="F1240" s="22" t="n">
        <v>306000</v>
      </c>
      <c r="G1240" s="23" t="n">
        <v>4781.25</v>
      </c>
      <c r="H1240" s="22" t="n">
        <v>348704</v>
      </c>
      <c r="I1240" s="23" t="n">
        <v>5448.5</v>
      </c>
      <c r="J1240" s="18" t="n">
        <v>-0.1225</v>
      </c>
      <c r="K1240" s="24" t="n">
        <v>80.59999999999999</v>
      </c>
      <c r="L1240" s="4" t="n">
        <v>24</v>
      </c>
      <c r="M1240" s="4" t="inlineStr">
        <is>
          <t>media</t>
        </is>
      </c>
      <c r="N1240" s="4" t="inlineStr">
        <is>
          <t>por debajo de comparables</t>
        </is>
      </c>
      <c r="O1240" s="4" t="n"/>
    </row>
    <row r="1241">
      <c r="A1241" s="4" t="inlineStr">
        <is>
          <t>MD-1537</t>
        </is>
      </c>
      <c r="B1241" s="21" t="n">
        <v>46128</v>
      </c>
      <c r="C1241" s="4" t="inlineStr">
        <is>
          <t>Villa de Vallecas</t>
        </is>
      </c>
      <c r="D1241" s="4" t="n">
        <v>145</v>
      </c>
      <c r="E1241" s="4" t="inlineStr">
        <is>
          <t>buen estado</t>
        </is>
      </c>
      <c r="F1241" s="22" t="n">
        <v>423000</v>
      </c>
      <c r="G1241" s="23" t="n">
        <v>2917.24</v>
      </c>
      <c r="H1241" s="22" t="n"/>
      <c r="I1241" s="23" t="n"/>
      <c r="J1241" s="18" t="n"/>
      <c r="K1241" s="24" t="n"/>
      <c r="L1241" s="4" t="n">
        <v>3</v>
      </c>
      <c r="M1241" s="4" t="inlineStr">
        <is>
          <t>sin muestra</t>
        </is>
      </c>
      <c r="N1241" s="4" t="inlineStr">
        <is>
          <t>no valorable</t>
        </is>
      </c>
      <c r="O1241" s="4" t="inlineStr">
        <is>
          <t>segmento con pocas operaciones comparables</t>
        </is>
      </c>
    </row>
    <row r="1242">
      <c r="A1242" s="4" t="inlineStr">
        <is>
          <t>MD-1196</t>
        </is>
      </c>
      <c r="B1242" s="21" t="n">
        <v>46128</v>
      </c>
      <c r="C1242" s="4" t="inlineStr">
        <is>
          <t>San Blas-Canillejas</t>
        </is>
      </c>
      <c r="D1242" s="4" t="n">
        <v>51</v>
      </c>
      <c r="E1242" s="4" t="inlineStr">
        <is>
          <t>buen estado</t>
        </is>
      </c>
      <c r="F1242" s="22" t="n">
        <v>174000</v>
      </c>
      <c r="G1242" s="23" t="n">
        <v>3411.76</v>
      </c>
      <c r="H1242" s="22" t="n">
        <v>181821</v>
      </c>
      <c r="I1242" s="23" t="n">
        <v>3565.11</v>
      </c>
      <c r="J1242" s="18" t="n">
        <v>-0.043</v>
      </c>
      <c r="K1242" s="24" t="n">
        <v>60.8</v>
      </c>
      <c r="L1242" s="4" t="n">
        <v>20</v>
      </c>
      <c r="M1242" s="4" t="inlineStr">
        <is>
          <t>alta</t>
        </is>
      </c>
      <c r="N1242" s="4" t="inlineStr">
        <is>
          <t>en linea con comparables</t>
        </is>
      </c>
      <c r="O1242" s="4" t="n"/>
    </row>
    <row r="1243">
      <c r="A1243" s="4" t="inlineStr">
        <is>
          <t>MD-1335</t>
        </is>
      </c>
      <c r="B1243" s="21" t="n">
        <v>46128</v>
      </c>
      <c r="C1243" s="4" t="inlineStr">
        <is>
          <t>Hortaleza</t>
        </is>
      </c>
      <c r="D1243" s="4" t="n">
        <v>156</v>
      </c>
      <c r="E1243" s="4" t="inlineStr">
        <is>
          <t>buen estado</t>
        </is>
      </c>
      <c r="F1243" s="22" t="n">
        <v>872000</v>
      </c>
      <c r="G1243" s="23" t="n">
        <v>5589.74</v>
      </c>
      <c r="H1243" s="22" t="n">
        <v>795909</v>
      </c>
      <c r="I1243" s="23" t="n">
        <v>5101.98</v>
      </c>
      <c r="J1243" s="18" t="n">
        <v>0.0956</v>
      </c>
      <c r="K1243" s="24" t="n">
        <v>26.1</v>
      </c>
      <c r="L1243" s="4" t="n">
        <v>31</v>
      </c>
      <c r="M1243" s="4" t="inlineStr">
        <is>
          <t>media</t>
        </is>
      </c>
      <c r="N1243" s="4" t="inlineStr">
        <is>
          <t>en linea con comparables</t>
        </is>
      </c>
      <c r="O1243" s="4" t="n"/>
    </row>
    <row r="1244">
      <c r="A1244" s="4" t="inlineStr">
        <is>
          <t>MD-1402</t>
        </is>
      </c>
      <c r="B1244" s="21" t="n">
        <v>46128</v>
      </c>
      <c r="C1244" s="4" t="inlineStr">
        <is>
          <t>Ciudad Lineal</t>
        </is>
      </c>
      <c r="D1244" s="4" t="n">
        <v>43</v>
      </c>
      <c r="E1244" s="4" t="inlineStr">
        <is>
          <t>reformado</t>
        </is>
      </c>
      <c r="F1244" s="22" t="n">
        <v>297000</v>
      </c>
      <c r="G1244" s="23" t="n">
        <v>6906.98</v>
      </c>
      <c r="H1244" s="22" t="n">
        <v>235364</v>
      </c>
      <c r="I1244" s="23" t="n">
        <v>5473.57</v>
      </c>
      <c r="J1244" s="18" t="n">
        <v>0.2619</v>
      </c>
      <c r="K1244" s="24" t="n">
        <v>0</v>
      </c>
      <c r="L1244" s="4" t="n">
        <v>25</v>
      </c>
      <c r="M1244" s="4" t="inlineStr">
        <is>
          <t>media</t>
        </is>
      </c>
      <c r="N1244" s="4" t="inlineStr">
        <is>
          <t>por encima de comparables</t>
        </is>
      </c>
      <c r="O1244" s="4" t="n"/>
    </row>
    <row r="1245">
      <c r="A1245" s="4" t="inlineStr">
        <is>
          <t>MD-1092</t>
        </is>
      </c>
      <c r="B1245" s="21" t="n">
        <v>46128</v>
      </c>
      <c r="C1245" s="4" t="inlineStr">
        <is>
          <t>Puente de Vallecas</t>
        </is>
      </c>
      <c r="D1245" s="4" t="n">
        <v>31</v>
      </c>
      <c r="E1245" s="4" t="inlineStr">
        <is>
          <t>buen estado</t>
        </is>
      </c>
      <c r="F1245" s="22" t="n">
        <v>87000</v>
      </c>
      <c r="G1245" s="23" t="n">
        <v>2806.45</v>
      </c>
      <c r="H1245" s="22" t="n">
        <v>91671</v>
      </c>
      <c r="I1245" s="23" t="n">
        <v>2957.12</v>
      </c>
      <c r="J1245" s="18" t="n">
        <v>-0.051</v>
      </c>
      <c r="K1245" s="24" t="n">
        <v>62.7</v>
      </c>
      <c r="L1245" s="4" t="n">
        <v>12</v>
      </c>
      <c r="M1245" s="4" t="inlineStr">
        <is>
          <t>media</t>
        </is>
      </c>
      <c r="N1245" s="4" t="inlineStr">
        <is>
          <t>en linea con comparables</t>
        </is>
      </c>
      <c r="O1245" s="4" t="n"/>
    </row>
    <row r="1246">
      <c r="A1246" s="4" t="inlineStr">
        <is>
          <t>MD-0924</t>
        </is>
      </c>
      <c r="B1246" s="21" t="n">
        <v>46128</v>
      </c>
      <c r="C1246" s="4" t="inlineStr">
        <is>
          <t>Barajas</t>
        </is>
      </c>
      <c r="D1246" s="4" t="n">
        <v>64</v>
      </c>
      <c r="E1246" s="4" t="inlineStr">
        <is>
          <t>buen estado</t>
        </is>
      </c>
      <c r="F1246" s="22" t="n">
        <v>299000</v>
      </c>
      <c r="G1246" s="23" t="n">
        <v>4671.88</v>
      </c>
      <c r="H1246" s="22" t="n">
        <v>256000</v>
      </c>
      <c r="I1246" s="23" t="n">
        <v>4000</v>
      </c>
      <c r="J1246" s="18" t="n">
        <v>0.168</v>
      </c>
      <c r="K1246" s="24" t="n">
        <v>8</v>
      </c>
      <c r="L1246" s="4" t="n">
        <v>5</v>
      </c>
      <c r="M1246" s="4" t="inlineStr">
        <is>
          <t>baja</t>
        </is>
      </c>
      <c r="N1246" s="4" t="inlineStr">
        <is>
          <t>por encima de comparables</t>
        </is>
      </c>
      <c r="O1246" s="4" t="n"/>
    </row>
    <row r="1247">
      <c r="A1247" s="4" t="inlineStr">
        <is>
          <t>MD-0285</t>
        </is>
      </c>
      <c r="B1247" s="21" t="n">
        <v>46128</v>
      </c>
      <c r="C1247" s="4" t="inlineStr">
        <is>
          <t>Latina</t>
        </is>
      </c>
      <c r="D1247" s="4" t="n">
        <v>60</v>
      </c>
      <c r="E1247" s="4" t="inlineStr">
        <is>
          <t>buen estado</t>
        </is>
      </c>
      <c r="F1247" s="22" t="n">
        <v>205000</v>
      </c>
      <c r="G1247" s="23" t="n">
        <v>3416.67</v>
      </c>
      <c r="H1247" s="22" t="n">
        <v>203794</v>
      </c>
      <c r="I1247" s="23" t="n">
        <v>3396.56</v>
      </c>
      <c r="J1247" s="18" t="n">
        <v>0.0059</v>
      </c>
      <c r="K1247" s="24" t="n">
        <v>48.5</v>
      </c>
      <c r="L1247" s="4" t="n">
        <v>42</v>
      </c>
      <c r="M1247" s="4" t="inlineStr">
        <is>
          <t>media</t>
        </is>
      </c>
      <c r="N1247" s="4" t="inlineStr">
        <is>
          <t>en linea con comparables</t>
        </is>
      </c>
      <c r="O1247" s="4" t="n"/>
    </row>
    <row r="1248">
      <c r="A1248" s="4" t="inlineStr">
        <is>
          <t>MD-0594</t>
        </is>
      </c>
      <c r="B1248" s="21" t="n">
        <v>46129</v>
      </c>
      <c r="C1248" s="4" t="inlineStr">
        <is>
          <t>Vicalvaro</t>
        </is>
      </c>
      <c r="D1248" s="4" t="n">
        <v>40</v>
      </c>
      <c r="E1248" s="4" t="inlineStr">
        <is>
          <t>obra nueva</t>
        </is>
      </c>
      <c r="F1248" s="22" t="n">
        <v>147000</v>
      </c>
      <c r="G1248" s="23" t="n">
        <v>3675</v>
      </c>
      <c r="H1248" s="22" t="n"/>
      <c r="I1248" s="23" t="n"/>
      <c r="J1248" s="18" t="n"/>
      <c r="K1248" s="24" t="n"/>
      <c r="L1248" s="4" t="n">
        <v>4</v>
      </c>
      <c r="M1248" s="4" t="inlineStr">
        <is>
          <t>sin muestra</t>
        </is>
      </c>
      <c r="N1248" s="4" t="inlineStr">
        <is>
          <t>no valorable</t>
        </is>
      </c>
      <c r="O1248" s="4" t="inlineStr">
        <is>
          <t>segmento con pocas operaciones comparables</t>
        </is>
      </c>
    </row>
    <row r="1249">
      <c r="A1249" s="4" t="inlineStr">
        <is>
          <t>MD-1734</t>
        </is>
      </c>
      <c r="B1249" s="21" t="n">
        <v>46129</v>
      </c>
      <c r="C1249" s="4" t="inlineStr">
        <is>
          <t>Fuencarral-El Pardo</t>
        </is>
      </c>
      <c r="D1249" s="4" t="n">
        <v>78</v>
      </c>
      <c r="E1249" s="4" t="inlineStr">
        <is>
          <t>a reformar</t>
        </is>
      </c>
      <c r="F1249" s="22" t="n">
        <v>379000</v>
      </c>
      <c r="G1249" s="23" t="n">
        <v>4858.97</v>
      </c>
      <c r="H1249" s="22" t="n">
        <v>387552</v>
      </c>
      <c r="I1249" s="23" t="n">
        <v>4968.61</v>
      </c>
      <c r="J1249" s="18" t="n">
        <v>-0.0221</v>
      </c>
      <c r="K1249" s="24" t="n">
        <v>55.5</v>
      </c>
      <c r="L1249" s="4" t="n">
        <v>19</v>
      </c>
      <c r="M1249" s="4" t="inlineStr">
        <is>
          <t>alta</t>
        </is>
      </c>
      <c r="N1249" s="4" t="inlineStr">
        <is>
          <t>en linea con comparables</t>
        </is>
      </c>
      <c r="O1249" s="4" t="n"/>
    </row>
    <row r="1250">
      <c r="A1250" s="4" t="inlineStr">
        <is>
          <t>MD-0387</t>
        </is>
      </c>
      <c r="B1250" s="21" t="n">
        <v>46129</v>
      </c>
      <c r="C1250" s="4" t="inlineStr">
        <is>
          <t>Ciudad Lineal</t>
        </is>
      </c>
      <c r="D1250" s="4" t="n">
        <v>50</v>
      </c>
      <c r="E1250" s="4" t="inlineStr">
        <is>
          <t>a reformar</t>
        </is>
      </c>
      <c r="F1250" s="22" t="n">
        <v>166000</v>
      </c>
      <c r="G1250" s="23" t="n">
        <v>3320</v>
      </c>
      <c r="H1250" s="22" t="n">
        <v>207606</v>
      </c>
      <c r="I1250" s="23" t="n">
        <v>4152.11</v>
      </c>
      <c r="J1250" s="18" t="n">
        <v>-0.2004</v>
      </c>
      <c r="K1250" s="24" t="n">
        <v>100</v>
      </c>
      <c r="L1250" s="4" t="n">
        <v>34</v>
      </c>
      <c r="M1250" s="4" t="inlineStr">
        <is>
          <t>alta</t>
        </is>
      </c>
      <c r="N1250" s="4" t="inlineStr">
        <is>
          <t>por debajo de comparables</t>
        </is>
      </c>
      <c r="O1250" s="4" t="n"/>
    </row>
    <row r="1251">
      <c r="A1251" s="4" t="inlineStr">
        <is>
          <t>MD-1979</t>
        </is>
      </c>
      <c r="B1251" s="21" t="n">
        <v>46129</v>
      </c>
      <c r="C1251" s="4" t="inlineStr">
        <is>
          <t>Moratalaz</t>
        </is>
      </c>
      <c r="D1251" s="4" t="n">
        <v>60</v>
      </c>
      <c r="E1251" s="4" t="inlineStr">
        <is>
          <t>buen estado</t>
        </is>
      </c>
      <c r="F1251" s="22" t="n">
        <v>221000</v>
      </c>
      <c r="G1251" s="23" t="n">
        <v>3683.33</v>
      </c>
      <c r="H1251" s="22" t="n">
        <v>194638</v>
      </c>
      <c r="I1251" s="23" t="n">
        <v>3243.96</v>
      </c>
      <c r="J1251" s="18" t="n">
        <v>0.1354</v>
      </c>
      <c r="K1251" s="24" t="n">
        <v>16.1</v>
      </c>
      <c r="L1251" s="4" t="n">
        <v>15</v>
      </c>
      <c r="M1251" s="4" t="inlineStr">
        <is>
          <t>media</t>
        </is>
      </c>
      <c r="N1251" s="4" t="inlineStr">
        <is>
          <t>por encima de comparables</t>
        </is>
      </c>
      <c r="O1251" s="4" t="n"/>
    </row>
    <row r="1252">
      <c r="A1252" s="4" t="inlineStr">
        <is>
          <t>MD-1484</t>
        </is>
      </c>
      <c r="B1252" s="21" t="n">
        <v>46130</v>
      </c>
      <c r="C1252" s="4" t="inlineStr">
        <is>
          <t>Centro</t>
        </is>
      </c>
      <c r="D1252" s="4" t="n">
        <v>176</v>
      </c>
      <c r="E1252" s="4" t="inlineStr">
        <is>
          <t>reformado</t>
        </is>
      </c>
      <c r="F1252" s="22" t="n">
        <v>1233000</v>
      </c>
      <c r="G1252" s="23" t="n">
        <v>7005.68</v>
      </c>
      <c r="H1252" s="22" t="n">
        <v>1002770</v>
      </c>
      <c r="I1252" s="23" t="n">
        <v>5697.55</v>
      </c>
      <c r="J1252" s="18" t="n">
        <v>0.2296</v>
      </c>
      <c r="K1252" s="24" t="n">
        <v>0</v>
      </c>
      <c r="L1252" s="4" t="n">
        <v>7</v>
      </c>
      <c r="M1252" s="4" t="inlineStr">
        <is>
          <t>baja</t>
        </is>
      </c>
      <c r="N1252" s="4" t="inlineStr">
        <is>
          <t>por encima de comparables</t>
        </is>
      </c>
      <c r="O1252" s="4" t="n"/>
    </row>
    <row r="1253">
      <c r="A1253" s="4" t="inlineStr">
        <is>
          <t>MD-1190</t>
        </is>
      </c>
      <c r="B1253" s="21" t="n">
        <v>46130</v>
      </c>
      <c r="C1253" s="4" t="inlineStr">
        <is>
          <t>Centro</t>
        </is>
      </c>
      <c r="D1253" s="4" t="n">
        <v>83</v>
      </c>
      <c r="E1253" s="4" t="inlineStr">
        <is>
          <t>buen estado</t>
        </is>
      </c>
      <c r="F1253" s="22" t="n">
        <v>663000</v>
      </c>
      <c r="G1253" s="23" t="n">
        <v>7987.95</v>
      </c>
      <c r="H1253" s="22" t="n">
        <v>624894</v>
      </c>
      <c r="I1253" s="23" t="n">
        <v>7528.84</v>
      </c>
      <c r="J1253" s="18" t="n">
        <v>0.061</v>
      </c>
      <c r="K1253" s="24" t="n">
        <v>34.8</v>
      </c>
      <c r="L1253" s="4" t="n">
        <v>18</v>
      </c>
      <c r="M1253" s="4" t="inlineStr">
        <is>
          <t>media</t>
        </is>
      </c>
      <c r="N1253" s="4" t="inlineStr">
        <is>
          <t>en linea con comparables</t>
        </is>
      </c>
      <c r="O1253" s="4" t="n"/>
    </row>
    <row r="1254">
      <c r="A1254" s="4" t="inlineStr">
        <is>
          <t>MD-0262</t>
        </is>
      </c>
      <c r="B1254" s="21" t="n">
        <v>46130</v>
      </c>
      <c r="C1254" s="4" t="inlineStr">
        <is>
          <t>Salamanca</t>
        </is>
      </c>
      <c r="D1254" s="4" t="n">
        <v>160</v>
      </c>
      <c r="E1254" s="4" t="inlineStr">
        <is>
          <t>buen estado</t>
        </is>
      </c>
      <c r="F1254" s="22" t="n">
        <v>1291000</v>
      </c>
      <c r="G1254" s="23" t="n">
        <v>8068.75</v>
      </c>
      <c r="H1254" s="22" t="n">
        <v>1478466</v>
      </c>
      <c r="I1254" s="23" t="n">
        <v>9240.41</v>
      </c>
      <c r="J1254" s="18" t="n">
        <v>-0.1268</v>
      </c>
      <c r="K1254" s="24" t="n">
        <v>81.7</v>
      </c>
      <c r="L1254" s="4" t="n">
        <v>14</v>
      </c>
      <c r="M1254" s="4" t="inlineStr">
        <is>
          <t>media</t>
        </is>
      </c>
      <c r="N1254" s="4" t="inlineStr">
        <is>
          <t>por debajo de comparables</t>
        </is>
      </c>
      <c r="O1254" s="4" t="n"/>
    </row>
    <row r="1255">
      <c r="A1255" s="4" t="inlineStr">
        <is>
          <t>MD-1274</t>
        </is>
      </c>
      <c r="B1255" s="21" t="n">
        <v>46130</v>
      </c>
      <c r="C1255" s="4" t="inlineStr">
        <is>
          <t>Hortaleza</t>
        </is>
      </c>
      <c r="D1255" s="4" t="n">
        <v>100</v>
      </c>
      <c r="E1255" s="4" t="inlineStr">
        <is>
          <t>buen estado</t>
        </is>
      </c>
      <c r="F1255" s="22" t="n">
        <v>537000</v>
      </c>
      <c r="G1255" s="23" t="n">
        <v>5370</v>
      </c>
      <c r="H1255" s="22" t="n">
        <v>519597</v>
      </c>
      <c r="I1255" s="23" t="n">
        <v>5195.97</v>
      </c>
      <c r="J1255" s="18" t="n">
        <v>0.0335</v>
      </c>
      <c r="K1255" s="24" t="n">
        <v>41.6</v>
      </c>
      <c r="L1255" s="4" t="n">
        <v>25</v>
      </c>
      <c r="M1255" s="4" t="inlineStr">
        <is>
          <t>media</t>
        </is>
      </c>
      <c r="N1255" s="4" t="inlineStr">
        <is>
          <t>en linea con comparables</t>
        </is>
      </c>
      <c r="O1255" s="4" t="n"/>
    </row>
    <row r="1256">
      <c r="A1256" s="4" t="inlineStr">
        <is>
          <t>MD-0104</t>
        </is>
      </c>
      <c r="B1256" s="21" t="n">
        <v>46130</v>
      </c>
      <c r="C1256" s="4" t="inlineStr">
        <is>
          <t>Tetuan</t>
        </is>
      </c>
      <c r="D1256" s="4" t="n">
        <v>86</v>
      </c>
      <c r="E1256" s="4" t="inlineStr">
        <is>
          <t>reformado</t>
        </is>
      </c>
      <c r="F1256" s="22" t="n">
        <v>668000</v>
      </c>
      <c r="G1256" s="23" t="n">
        <v>7767.44</v>
      </c>
      <c r="H1256" s="22" t="n">
        <v>497942</v>
      </c>
      <c r="I1256" s="23" t="n">
        <v>5790.03</v>
      </c>
      <c r="J1256" s="18" t="n">
        <v>0.3415</v>
      </c>
      <c r="K1256" s="24" t="n">
        <v>0</v>
      </c>
      <c r="L1256" s="4" t="n">
        <v>21</v>
      </c>
      <c r="M1256" s="4" t="inlineStr">
        <is>
          <t>media</t>
        </is>
      </c>
      <c r="N1256" s="4" t="inlineStr">
        <is>
          <t>por encima de comparables</t>
        </is>
      </c>
      <c r="O1256" s="4" t="n"/>
    </row>
    <row r="1257">
      <c r="A1257" s="4" t="inlineStr">
        <is>
          <t>MD-0524</t>
        </is>
      </c>
      <c r="B1257" s="21" t="n">
        <v>46130</v>
      </c>
      <c r="C1257" s="4" t="inlineStr">
        <is>
          <t>Carabanchel</t>
        </is>
      </c>
      <c r="D1257" s="4" t="n">
        <v>81</v>
      </c>
      <c r="E1257" s="4" t="inlineStr">
        <is>
          <t>buen estado</t>
        </is>
      </c>
      <c r="F1257" s="22" t="n">
        <v>216000</v>
      </c>
      <c r="G1257" s="23" t="n">
        <v>2666.67</v>
      </c>
      <c r="H1257" s="22" t="n">
        <v>236238</v>
      </c>
      <c r="I1257" s="23" t="n">
        <v>2916.52</v>
      </c>
      <c r="J1257" s="18" t="n">
        <v>-0.0857</v>
      </c>
      <c r="K1257" s="24" t="n">
        <v>71.40000000000001</v>
      </c>
      <c r="L1257" s="4" t="n">
        <v>32</v>
      </c>
      <c r="M1257" s="4" t="inlineStr">
        <is>
          <t>alta</t>
        </is>
      </c>
      <c r="N1257" s="4" t="inlineStr">
        <is>
          <t>en linea con comparables</t>
        </is>
      </c>
      <c r="O1257" s="4" t="n"/>
    </row>
    <row r="1258">
      <c r="A1258" s="4" t="inlineStr">
        <is>
          <t>MD-1087</t>
        </is>
      </c>
      <c r="B1258" s="21" t="n">
        <v>46130</v>
      </c>
      <c r="C1258" s="4" t="inlineStr">
        <is>
          <t>Salamanca</t>
        </is>
      </c>
      <c r="D1258" s="4" t="n">
        <v>164</v>
      </c>
      <c r="E1258" s="4" t="inlineStr">
        <is>
          <t>a reformar</t>
        </is>
      </c>
      <c r="F1258" s="22" t="n">
        <v>854000</v>
      </c>
      <c r="G1258" s="23" t="n">
        <v>5207.32</v>
      </c>
      <c r="H1258" s="22" t="n">
        <v>1157148</v>
      </c>
      <c r="I1258" s="23" t="n">
        <v>7055.78</v>
      </c>
      <c r="J1258" s="18" t="n">
        <v>-0.262</v>
      </c>
      <c r="K1258" s="24" t="n">
        <v>100</v>
      </c>
      <c r="L1258" s="4" t="n">
        <v>14</v>
      </c>
      <c r="M1258" s="4" t="inlineStr">
        <is>
          <t>media</t>
        </is>
      </c>
      <c r="N1258" s="4" t="inlineStr">
        <is>
          <t>por debajo de comparables</t>
        </is>
      </c>
      <c r="O1258" s="4" t="n"/>
    </row>
    <row r="1259">
      <c r="A1259" s="4" t="inlineStr">
        <is>
          <t>MD-1358</t>
        </is>
      </c>
      <c r="B1259" s="21" t="n">
        <v>46131</v>
      </c>
      <c r="C1259" s="4" t="inlineStr">
        <is>
          <t>Ciudad Lineal</t>
        </is>
      </c>
      <c r="D1259" s="4" t="n">
        <v>98</v>
      </c>
      <c r="E1259" s="4" t="inlineStr">
        <is>
          <t>reformado</t>
        </is>
      </c>
      <c r="F1259" s="22" t="n">
        <v>516000</v>
      </c>
      <c r="G1259" s="23" t="n">
        <v>5265.31</v>
      </c>
      <c r="H1259" s="22" t="n">
        <v>510779</v>
      </c>
      <c r="I1259" s="23" t="n">
        <v>5212.03</v>
      </c>
      <c r="J1259" s="18" t="n">
        <v>0.0102</v>
      </c>
      <c r="K1259" s="24" t="n">
        <v>47.4</v>
      </c>
      <c r="L1259" s="4" t="n">
        <v>13</v>
      </c>
      <c r="M1259" s="4" t="inlineStr">
        <is>
          <t>media</t>
        </is>
      </c>
      <c r="N1259" s="4" t="inlineStr">
        <is>
          <t>en linea con comparables</t>
        </is>
      </c>
      <c r="O1259" s="4" t="n"/>
    </row>
    <row r="1260">
      <c r="A1260" s="4" t="inlineStr">
        <is>
          <t>MD-0678</t>
        </is>
      </c>
      <c r="B1260" s="21" t="n">
        <v>46131</v>
      </c>
      <c r="C1260" s="4" t="inlineStr">
        <is>
          <t>Centro</t>
        </is>
      </c>
      <c r="D1260" s="4" t="n">
        <v>35</v>
      </c>
      <c r="E1260" s="4" t="inlineStr">
        <is>
          <t>obra nueva</t>
        </is>
      </c>
      <c r="F1260" s="22" t="n">
        <v>216000</v>
      </c>
      <c r="G1260" s="23" t="n">
        <v>6171.43</v>
      </c>
      <c r="H1260" s="22" t="n">
        <v>277662</v>
      </c>
      <c r="I1260" s="23" t="n">
        <v>7933.19</v>
      </c>
      <c r="J1260" s="18" t="n">
        <v>-0.2221</v>
      </c>
      <c r="K1260" s="24" t="n">
        <v>100</v>
      </c>
      <c r="L1260" s="4" t="n">
        <v>24</v>
      </c>
      <c r="M1260" s="4" t="inlineStr">
        <is>
          <t>media</t>
        </is>
      </c>
      <c r="N1260" s="4" t="inlineStr">
        <is>
          <t>por debajo de comparables</t>
        </is>
      </c>
      <c r="O1260" s="4" t="n"/>
    </row>
    <row r="1261">
      <c r="A1261" s="4" t="inlineStr">
        <is>
          <t>MD-0911</t>
        </is>
      </c>
      <c r="B1261" s="21" t="n">
        <v>46131</v>
      </c>
      <c r="C1261" s="4" t="inlineStr">
        <is>
          <t>Vicalvaro</t>
        </is>
      </c>
      <c r="D1261" s="4" t="n">
        <v>174</v>
      </c>
      <c r="E1261" s="4" t="inlineStr">
        <is>
          <t>buen estado</t>
        </is>
      </c>
      <c r="F1261" s="22" t="n">
        <v>702000</v>
      </c>
      <c r="G1261" s="23" t="n">
        <v>4034.48</v>
      </c>
      <c r="H1261" s="22" t="n">
        <v>644693</v>
      </c>
      <c r="I1261" s="23" t="n">
        <v>3705.13</v>
      </c>
      <c r="J1261" s="18" t="n">
        <v>0.08890000000000001</v>
      </c>
      <c r="K1261" s="24" t="n">
        <v>27.8</v>
      </c>
      <c r="L1261" s="4" t="n">
        <v>15</v>
      </c>
      <c r="M1261" s="4" t="inlineStr">
        <is>
          <t>alta</t>
        </is>
      </c>
      <c r="N1261" s="4" t="inlineStr">
        <is>
          <t>en linea con comparables</t>
        </is>
      </c>
      <c r="O1261" s="4" t="n"/>
    </row>
    <row r="1262">
      <c r="A1262" s="4" t="inlineStr">
        <is>
          <t>MD-1422</t>
        </is>
      </c>
      <c r="B1262" s="21" t="n">
        <v>46131</v>
      </c>
      <c r="C1262" s="4" t="inlineStr">
        <is>
          <t>Puente de Vallecas</t>
        </is>
      </c>
      <c r="D1262" s="4" t="n">
        <v>36</v>
      </c>
      <c r="E1262" s="4" t="inlineStr">
        <is>
          <t>buen estado</t>
        </is>
      </c>
      <c r="F1262" s="22" t="n">
        <v>94000</v>
      </c>
      <c r="G1262" s="23" t="n">
        <v>2611.11</v>
      </c>
      <c r="H1262" s="22" t="n">
        <v>100508</v>
      </c>
      <c r="I1262" s="23" t="n">
        <v>2791.89</v>
      </c>
      <c r="J1262" s="18" t="n">
        <v>-0.0648</v>
      </c>
      <c r="K1262" s="24" t="n">
        <v>66.2</v>
      </c>
      <c r="L1262" s="4" t="n">
        <v>22</v>
      </c>
      <c r="M1262" s="4" t="inlineStr">
        <is>
          <t>alta</t>
        </is>
      </c>
      <c r="N1262" s="4" t="inlineStr">
        <is>
          <t>en linea con comparables</t>
        </is>
      </c>
      <c r="O1262" s="4" t="n"/>
    </row>
    <row r="1263">
      <c r="A1263" s="4" t="inlineStr">
        <is>
          <t>MD-0948</t>
        </is>
      </c>
      <c r="B1263" s="21" t="n">
        <v>46131</v>
      </c>
      <c r="C1263" s="4" t="inlineStr">
        <is>
          <t>Ciudad Lineal</t>
        </is>
      </c>
      <c r="D1263" s="4" t="n">
        <v>94</v>
      </c>
      <c r="E1263" s="4" t="inlineStr">
        <is>
          <t>buen estado</t>
        </is>
      </c>
      <c r="F1263" s="22" t="n">
        <v>418000</v>
      </c>
      <c r="G1263" s="23" t="n">
        <v>4446.81</v>
      </c>
      <c r="H1263" s="22" t="n">
        <v>382276</v>
      </c>
      <c r="I1263" s="23" t="n">
        <v>4066.77</v>
      </c>
      <c r="J1263" s="18" t="n">
        <v>0.0935</v>
      </c>
      <c r="K1263" s="24" t="n">
        <v>26.6</v>
      </c>
      <c r="L1263" s="4" t="n">
        <v>17</v>
      </c>
      <c r="M1263" s="4" t="inlineStr">
        <is>
          <t>media</t>
        </is>
      </c>
      <c r="N1263" s="4" t="inlineStr">
        <is>
          <t>en linea con comparables</t>
        </is>
      </c>
      <c r="O1263" s="4" t="n"/>
    </row>
    <row r="1264">
      <c r="A1264" s="4" t="inlineStr">
        <is>
          <t>MD-0855</t>
        </is>
      </c>
      <c r="B1264" s="21" t="n">
        <v>46131</v>
      </c>
      <c r="C1264" s="4" t="inlineStr">
        <is>
          <t>Carabanchel</t>
        </is>
      </c>
      <c r="D1264" s="4" t="n">
        <v>66</v>
      </c>
      <c r="E1264" s="4" t="inlineStr">
        <is>
          <t>reformado</t>
        </is>
      </c>
      <c r="F1264" s="22" t="n">
        <v>193000</v>
      </c>
      <c r="G1264" s="23" t="n">
        <v>2924.24</v>
      </c>
      <c r="H1264" s="22" t="n">
        <v>247603</v>
      </c>
      <c r="I1264" s="23" t="n">
        <v>3751.56</v>
      </c>
      <c r="J1264" s="18" t="n">
        <v>-0.2205</v>
      </c>
      <c r="K1264" s="24" t="n">
        <v>100</v>
      </c>
      <c r="L1264" s="4" t="n">
        <v>41</v>
      </c>
      <c r="M1264" s="4" t="inlineStr">
        <is>
          <t>alta</t>
        </is>
      </c>
      <c r="N1264" s="4" t="inlineStr">
        <is>
          <t>por debajo de comparables</t>
        </is>
      </c>
      <c r="O1264" s="4" t="n"/>
    </row>
    <row r="1265">
      <c r="A1265" s="4" t="inlineStr">
        <is>
          <t>MD-1277</t>
        </is>
      </c>
      <c r="B1265" s="21" t="n">
        <v>46131</v>
      </c>
      <c r="C1265" s="4" t="inlineStr">
        <is>
          <t>San Blas-Canillejas</t>
        </is>
      </c>
      <c r="D1265" s="4" t="n">
        <v>46</v>
      </c>
      <c r="E1265" s="4" t="inlineStr">
        <is>
          <t>buen estado</t>
        </is>
      </c>
      <c r="F1265" s="22" t="n">
        <v>146000</v>
      </c>
      <c r="G1265" s="23" t="n">
        <v>3173.91</v>
      </c>
      <c r="H1265" s="22" t="n">
        <v>162878</v>
      </c>
      <c r="I1265" s="23" t="n">
        <v>3540.83</v>
      </c>
      <c r="J1265" s="18" t="n">
        <v>-0.1036</v>
      </c>
      <c r="K1265" s="24" t="n">
        <v>75.90000000000001</v>
      </c>
      <c r="L1265" s="4" t="n">
        <v>17</v>
      </c>
      <c r="M1265" s="4" t="inlineStr">
        <is>
          <t>alta</t>
        </is>
      </c>
      <c r="N1265" s="4" t="inlineStr">
        <is>
          <t>por debajo de comparables</t>
        </is>
      </c>
      <c r="O1265" s="4" t="n"/>
    </row>
    <row r="1266">
      <c r="A1266" s="4" t="inlineStr">
        <is>
          <t>MD-1093</t>
        </is>
      </c>
      <c r="B1266" s="21" t="n">
        <v>46132</v>
      </c>
      <c r="C1266" s="4" t="inlineStr">
        <is>
          <t>Tetuan</t>
        </is>
      </c>
      <c r="D1266" s="4" t="n">
        <v>28</v>
      </c>
      <c r="E1266" s="4" t="inlineStr">
        <is>
          <t>reformado</t>
        </is>
      </c>
      <c r="F1266" s="22" t="n">
        <v>149000</v>
      </c>
      <c r="G1266" s="23" t="n">
        <v>5321.43</v>
      </c>
      <c r="H1266" s="22" t="n">
        <v>151901</v>
      </c>
      <c r="I1266" s="23" t="n">
        <v>5425.02</v>
      </c>
      <c r="J1266" s="18" t="n">
        <v>-0.0191</v>
      </c>
      <c r="K1266" s="24" t="n">
        <v>54.8</v>
      </c>
      <c r="L1266" s="4" t="n">
        <v>6</v>
      </c>
      <c r="M1266" s="4" t="inlineStr">
        <is>
          <t>baja</t>
        </is>
      </c>
      <c r="N1266" s="4" t="inlineStr">
        <is>
          <t>en linea con comparables</t>
        </is>
      </c>
      <c r="O1266" s="4" t="n"/>
    </row>
    <row r="1267">
      <c r="A1267" s="4" t="inlineStr">
        <is>
          <t>MD-0908</t>
        </is>
      </c>
      <c r="B1267" s="21" t="n">
        <v>46132</v>
      </c>
      <c r="C1267" s="4" t="inlineStr">
        <is>
          <t>Tetuan</t>
        </is>
      </c>
      <c r="D1267" s="4" t="n">
        <v>67</v>
      </c>
      <c r="E1267" s="4" t="inlineStr">
        <is>
          <t>reformado</t>
        </is>
      </c>
      <c r="F1267" s="22" t="n">
        <v>459000</v>
      </c>
      <c r="G1267" s="23" t="n">
        <v>6850.75</v>
      </c>
      <c r="H1267" s="22" t="n">
        <v>388686</v>
      </c>
      <c r="I1267" s="23" t="n">
        <v>5801.29</v>
      </c>
      <c r="J1267" s="18" t="n">
        <v>0.1809</v>
      </c>
      <c r="K1267" s="24" t="n">
        <v>4.8</v>
      </c>
      <c r="L1267" s="4" t="n">
        <v>22</v>
      </c>
      <c r="M1267" s="4" t="inlineStr">
        <is>
          <t>alta</t>
        </is>
      </c>
      <c r="N1267" s="4" t="inlineStr">
        <is>
          <t>por encima de comparables</t>
        </is>
      </c>
      <c r="O1267" s="4" t="n"/>
    </row>
    <row r="1268">
      <c r="A1268" s="4" t="inlineStr">
        <is>
          <t>MD-0197</t>
        </is>
      </c>
      <c r="B1268" s="21" t="n">
        <v>46132</v>
      </c>
      <c r="C1268" s="4" t="inlineStr">
        <is>
          <t>Tetuan</t>
        </is>
      </c>
      <c r="D1268" s="4" t="n">
        <v>63</v>
      </c>
      <c r="E1268" s="4" t="inlineStr">
        <is>
          <t>reformado</t>
        </is>
      </c>
      <c r="F1268" s="22" t="n">
        <v>395000</v>
      </c>
      <c r="G1268" s="23" t="n">
        <v>6269.84</v>
      </c>
      <c r="H1268" s="22" t="n">
        <v>356265</v>
      </c>
      <c r="I1268" s="23" t="n">
        <v>5654.99</v>
      </c>
      <c r="J1268" s="18" t="n">
        <v>0.1087</v>
      </c>
      <c r="K1268" s="24" t="n">
        <v>22.8</v>
      </c>
      <c r="L1268" s="4" t="n">
        <v>18</v>
      </c>
      <c r="M1268" s="4" t="inlineStr">
        <is>
          <t>alta</t>
        </is>
      </c>
      <c r="N1268" s="4" t="inlineStr">
        <is>
          <t>por encima de comparables</t>
        </is>
      </c>
      <c r="O1268" s="4" t="n"/>
    </row>
    <row r="1269">
      <c r="A1269" s="4" t="inlineStr">
        <is>
          <t>MD-1260</t>
        </is>
      </c>
      <c r="B1269" s="21" t="n">
        <v>46132</v>
      </c>
      <c r="C1269" s="4" t="inlineStr">
        <is>
          <t>Fuencarral-El Pardo</t>
        </is>
      </c>
      <c r="D1269" s="4" t="n">
        <v>121</v>
      </c>
      <c r="E1269" s="4" t="inlineStr">
        <is>
          <t>reformado</t>
        </is>
      </c>
      <c r="F1269" s="22" t="n">
        <v>611000</v>
      </c>
      <c r="G1269" s="23" t="n">
        <v>5049.59</v>
      </c>
      <c r="H1269" s="22" t="n">
        <v>681796</v>
      </c>
      <c r="I1269" s="23" t="n">
        <v>5634.68</v>
      </c>
      <c r="J1269" s="18" t="n">
        <v>-0.1038</v>
      </c>
      <c r="K1269" s="24" t="n">
        <v>76</v>
      </c>
      <c r="L1269" s="4" t="n">
        <v>25</v>
      </c>
      <c r="M1269" s="4" t="inlineStr">
        <is>
          <t>alta</t>
        </is>
      </c>
      <c r="N1269" s="4" t="inlineStr">
        <is>
          <t>por debajo de comparables</t>
        </is>
      </c>
      <c r="O1269" s="4" t="n"/>
    </row>
    <row r="1270">
      <c r="A1270" s="4" t="inlineStr">
        <is>
          <t>MD-1254</t>
        </is>
      </c>
      <c r="B1270" s="21" t="n">
        <v>46132</v>
      </c>
      <c r="C1270" s="4" t="inlineStr">
        <is>
          <t>Puente de Vallecas</t>
        </is>
      </c>
      <c r="D1270" s="4" t="n">
        <v>39</v>
      </c>
      <c r="E1270" s="4" t="inlineStr">
        <is>
          <t>a reformar</t>
        </is>
      </c>
      <c r="F1270" s="22" t="n">
        <v>97000</v>
      </c>
      <c r="G1270" s="23" t="n">
        <v>2487.18</v>
      </c>
      <c r="H1270" s="22" t="n">
        <v>94125</v>
      </c>
      <c r="I1270" s="23" t="n">
        <v>2413.46</v>
      </c>
      <c r="J1270" s="18" t="n">
        <v>0.0305</v>
      </c>
      <c r="K1270" s="24" t="n">
        <v>42.4</v>
      </c>
      <c r="L1270" s="4" t="n">
        <v>27</v>
      </c>
      <c r="M1270" s="4" t="inlineStr">
        <is>
          <t>alta</t>
        </is>
      </c>
      <c r="N1270" s="4" t="inlineStr">
        <is>
          <t>en linea con comparables</t>
        </is>
      </c>
      <c r="O1270" s="4" t="n"/>
    </row>
    <row r="1271">
      <c r="A1271" s="4" t="inlineStr">
        <is>
          <t>MD-1281</t>
        </is>
      </c>
      <c r="B1271" s="21" t="n">
        <v>46132</v>
      </c>
      <c r="C1271" s="4" t="inlineStr">
        <is>
          <t>Ciudad Lineal</t>
        </is>
      </c>
      <c r="D1271" s="4" t="n">
        <v>92</v>
      </c>
      <c r="E1271" s="4" t="inlineStr">
        <is>
          <t>buen estado</t>
        </is>
      </c>
      <c r="F1271" s="22" t="n">
        <v>406000</v>
      </c>
      <c r="G1271" s="23" t="n">
        <v>4413.04</v>
      </c>
      <c r="H1271" s="22" t="n">
        <v>440099</v>
      </c>
      <c r="I1271" s="23" t="n">
        <v>4783.69</v>
      </c>
      <c r="J1271" s="18" t="n">
        <v>-0.0775</v>
      </c>
      <c r="K1271" s="24" t="n">
        <v>69.40000000000001</v>
      </c>
      <c r="L1271" s="4" t="n">
        <v>22</v>
      </c>
      <c r="M1271" s="4" t="inlineStr">
        <is>
          <t>media</t>
        </is>
      </c>
      <c r="N1271" s="4" t="inlineStr">
        <is>
          <t>en linea con comparables</t>
        </is>
      </c>
      <c r="O1271" s="4" t="n"/>
    </row>
    <row r="1272">
      <c r="A1272" s="4" t="inlineStr">
        <is>
          <t>MD-1446</t>
        </is>
      </c>
      <c r="B1272" s="21" t="n">
        <v>46133</v>
      </c>
      <c r="C1272" s="4" t="inlineStr">
        <is>
          <t>Latina</t>
        </is>
      </c>
      <c r="D1272" s="4" t="n">
        <v>30</v>
      </c>
      <c r="E1272" s="4" t="inlineStr">
        <is>
          <t>reformado</t>
        </is>
      </c>
      <c r="F1272" s="22" t="n">
        <v>119000</v>
      </c>
      <c r="G1272" s="23" t="n">
        <v>3966.67</v>
      </c>
      <c r="H1272" s="22" t="n"/>
      <c r="I1272" s="23" t="n"/>
      <c r="J1272" s="18" t="n"/>
      <c r="K1272" s="24" t="n"/>
      <c r="L1272" s="4" t="n">
        <v>2</v>
      </c>
      <c r="M1272" s="4" t="inlineStr">
        <is>
          <t>sin muestra</t>
        </is>
      </c>
      <c r="N1272" s="4" t="inlineStr">
        <is>
          <t>no valorable</t>
        </is>
      </c>
      <c r="O1272" s="4" t="inlineStr">
        <is>
          <t>segmento con pocas operaciones comparables</t>
        </is>
      </c>
    </row>
    <row r="1273">
      <c r="A1273" s="4" t="inlineStr">
        <is>
          <t>MD-0822</t>
        </is>
      </c>
      <c r="B1273" s="21" t="n">
        <v>46133</v>
      </c>
      <c r="C1273" s="4" t="inlineStr">
        <is>
          <t>Vicalvaro</t>
        </is>
      </c>
      <c r="D1273" s="4" t="n">
        <v>131</v>
      </c>
      <c r="E1273" s="4" t="inlineStr">
        <is>
          <t>buen estado</t>
        </is>
      </c>
      <c r="F1273" s="22" t="n">
        <v>443000</v>
      </c>
      <c r="G1273" s="23" t="n">
        <v>3381.68</v>
      </c>
      <c r="H1273" s="22" t="n">
        <v>399008</v>
      </c>
      <c r="I1273" s="23" t="n">
        <v>3045.86</v>
      </c>
      <c r="J1273" s="18" t="n">
        <v>0.1103</v>
      </c>
      <c r="K1273" s="24" t="n">
        <v>22.4</v>
      </c>
      <c r="L1273" s="4" t="n">
        <v>10</v>
      </c>
      <c r="M1273" s="4" t="inlineStr">
        <is>
          <t>media</t>
        </is>
      </c>
      <c r="N1273" s="4" t="inlineStr">
        <is>
          <t>por encima de comparables</t>
        </is>
      </c>
      <c r="O1273" s="4" t="n"/>
    </row>
    <row r="1274">
      <c r="A1274" s="4" t="inlineStr">
        <is>
          <t>MD-1938</t>
        </is>
      </c>
      <c r="B1274" s="21" t="n">
        <v>46133</v>
      </c>
      <c r="C1274" s="4" t="inlineStr">
        <is>
          <t>Villa de Vallecas</t>
        </is>
      </c>
      <c r="D1274" s="4" t="n">
        <v>99</v>
      </c>
      <c r="E1274" s="4" t="inlineStr">
        <is>
          <t>a reformar</t>
        </is>
      </c>
      <c r="F1274" s="22" t="n">
        <v>282000</v>
      </c>
      <c r="G1274" s="23" t="n">
        <v>2848.48</v>
      </c>
      <c r="H1274" s="22" t="n">
        <v>265069</v>
      </c>
      <c r="I1274" s="23" t="n">
        <v>2677.47</v>
      </c>
      <c r="J1274" s="18" t="n">
        <v>0.0639</v>
      </c>
      <c r="K1274" s="24" t="n">
        <v>34</v>
      </c>
      <c r="L1274" s="4" t="n">
        <v>12</v>
      </c>
      <c r="M1274" s="4" t="inlineStr">
        <is>
          <t>media</t>
        </is>
      </c>
      <c r="N1274" s="4" t="inlineStr">
        <is>
          <t>en linea con comparables</t>
        </is>
      </c>
      <c r="O1274" s="4" t="n"/>
    </row>
    <row r="1275">
      <c r="A1275" s="4" t="inlineStr">
        <is>
          <t>MD-0737</t>
        </is>
      </c>
      <c r="B1275" s="21" t="n">
        <v>46133</v>
      </c>
      <c r="C1275" s="4" t="inlineStr">
        <is>
          <t>Puente de Vallecas</t>
        </is>
      </c>
      <c r="D1275" s="4" t="n">
        <v>82</v>
      </c>
      <c r="E1275" s="4" t="inlineStr">
        <is>
          <t>buen estado</t>
        </is>
      </c>
      <c r="F1275" s="22" t="n">
        <v>285000</v>
      </c>
      <c r="G1275" s="23" t="n">
        <v>3475.61</v>
      </c>
      <c r="H1275" s="22" t="n">
        <v>237944</v>
      </c>
      <c r="I1275" s="23" t="n">
        <v>2901.76</v>
      </c>
      <c r="J1275" s="18" t="n">
        <v>0.1978</v>
      </c>
      <c r="K1275" s="24" t="n">
        <v>0.6</v>
      </c>
      <c r="L1275" s="4" t="n">
        <v>34</v>
      </c>
      <c r="M1275" s="4" t="inlineStr">
        <is>
          <t>alta</t>
        </is>
      </c>
      <c r="N1275" s="4" t="inlineStr">
        <is>
          <t>por encima de comparables</t>
        </is>
      </c>
      <c r="O1275" s="4" t="n"/>
    </row>
    <row r="1276">
      <c r="A1276" s="4" t="inlineStr">
        <is>
          <t>MD-0027</t>
        </is>
      </c>
      <c r="B1276" s="21" t="n">
        <v>46134</v>
      </c>
      <c r="C1276" s="4" t="inlineStr">
        <is>
          <t>Puente de Vallecas</t>
        </is>
      </c>
      <c r="D1276" s="4" t="n">
        <v>40</v>
      </c>
      <c r="E1276" s="4" t="inlineStr">
        <is>
          <t>buen estado</t>
        </is>
      </c>
      <c r="F1276" s="22" t="n">
        <v>150000</v>
      </c>
      <c r="G1276" s="23" t="n">
        <v>3750</v>
      </c>
      <c r="H1276" s="22" t="n">
        <v>110821</v>
      </c>
      <c r="I1276" s="23" t="n">
        <v>2770.53</v>
      </c>
      <c r="J1276" s="18" t="n">
        <v>0.3535</v>
      </c>
      <c r="K1276" s="24" t="n">
        <v>0</v>
      </c>
      <c r="L1276" s="4" t="n">
        <v>29</v>
      </c>
      <c r="M1276" s="4" t="inlineStr">
        <is>
          <t>alta</t>
        </is>
      </c>
      <c r="N1276" s="4" t="inlineStr">
        <is>
          <t>por encima de comparables</t>
        </is>
      </c>
      <c r="O1276" s="4" t="n"/>
    </row>
    <row r="1277">
      <c r="A1277" s="4" t="inlineStr">
        <is>
          <t>MD-1657</t>
        </is>
      </c>
      <c r="B1277" s="21" t="n">
        <v>46134</v>
      </c>
      <c r="C1277" s="4" t="inlineStr">
        <is>
          <t>Fuencarral-El Pardo</t>
        </is>
      </c>
      <c r="D1277" s="4" t="n">
        <v>109</v>
      </c>
      <c r="E1277" s="4" t="inlineStr">
        <is>
          <t>reformado</t>
        </is>
      </c>
      <c r="F1277" s="22" t="n">
        <v>527000</v>
      </c>
      <c r="G1277" s="23" t="n">
        <v>4834.86</v>
      </c>
      <c r="H1277" s="22" t="n">
        <v>682223</v>
      </c>
      <c r="I1277" s="23" t="n">
        <v>6258.93</v>
      </c>
      <c r="J1277" s="18" t="n">
        <v>-0.2275</v>
      </c>
      <c r="K1277" s="24" t="n">
        <v>100</v>
      </c>
      <c r="L1277" s="4" t="n">
        <v>27</v>
      </c>
      <c r="M1277" s="4" t="inlineStr">
        <is>
          <t>alta</t>
        </is>
      </c>
      <c r="N1277" s="4" t="inlineStr">
        <is>
          <t>por debajo de comparables</t>
        </is>
      </c>
      <c r="O1277" s="4" t="n"/>
    </row>
    <row r="1278">
      <c r="A1278" s="4" t="inlineStr">
        <is>
          <t>MD-1618</t>
        </is>
      </c>
      <c r="B1278" s="21" t="n">
        <v>46134</v>
      </c>
      <c r="C1278" s="4" t="inlineStr">
        <is>
          <t>Vicalvaro</t>
        </is>
      </c>
      <c r="D1278" s="4" t="n">
        <v>84</v>
      </c>
      <c r="E1278" s="4" t="inlineStr">
        <is>
          <t>buen estado</t>
        </is>
      </c>
      <c r="F1278" s="22" t="n">
        <v>309000</v>
      </c>
      <c r="G1278" s="23" t="n">
        <v>3678.57</v>
      </c>
      <c r="H1278" s="22" t="n">
        <v>256015</v>
      </c>
      <c r="I1278" s="23" t="n">
        <v>3047.8</v>
      </c>
      <c r="J1278" s="18" t="n">
        <v>0.207</v>
      </c>
      <c r="K1278" s="24" t="n">
        <v>0</v>
      </c>
      <c r="L1278" s="4" t="n">
        <v>20</v>
      </c>
      <c r="M1278" s="4" t="inlineStr">
        <is>
          <t>media</t>
        </is>
      </c>
      <c r="N1278" s="4" t="inlineStr">
        <is>
          <t>por encima de comparables</t>
        </is>
      </c>
      <c r="O1278" s="4" t="n"/>
    </row>
    <row r="1279">
      <c r="A1279" s="4" t="inlineStr">
        <is>
          <t>MD-1053</t>
        </is>
      </c>
      <c r="B1279" s="21" t="n">
        <v>46134</v>
      </c>
      <c r="C1279" s="4" t="inlineStr">
        <is>
          <t>Usera</t>
        </is>
      </c>
      <c r="D1279" s="4" t="n">
        <v>84</v>
      </c>
      <c r="E1279" s="4" t="inlineStr">
        <is>
          <t>a reformar</t>
        </is>
      </c>
      <c r="F1279" s="22" t="n">
        <v>192000</v>
      </c>
      <c r="G1279" s="23" t="n">
        <v>2285.71</v>
      </c>
      <c r="H1279" s="22" t="n">
        <v>186604</v>
      </c>
      <c r="I1279" s="23" t="n">
        <v>2221.47</v>
      </c>
      <c r="J1279" s="18" t="n">
        <v>0.0289</v>
      </c>
      <c r="K1279" s="24" t="n">
        <v>42.8</v>
      </c>
      <c r="L1279" s="4" t="n">
        <v>11</v>
      </c>
      <c r="M1279" s="4" t="inlineStr">
        <is>
          <t>media</t>
        </is>
      </c>
      <c r="N1279" s="4" t="inlineStr">
        <is>
          <t>en linea con comparables</t>
        </is>
      </c>
      <c r="O1279" s="4" t="n"/>
    </row>
    <row r="1280">
      <c r="A1280" s="4" t="inlineStr">
        <is>
          <t>MD-1633</t>
        </is>
      </c>
      <c r="B1280" s="21" t="n">
        <v>46134</v>
      </c>
      <c r="C1280" s="4" t="inlineStr">
        <is>
          <t>Latina</t>
        </is>
      </c>
      <c r="D1280" s="4" t="n">
        <v>61</v>
      </c>
      <c r="E1280" s="4" t="inlineStr">
        <is>
          <t>buen estado</t>
        </is>
      </c>
      <c r="F1280" s="22" t="n">
        <v>209000</v>
      </c>
      <c r="G1280" s="23" t="n">
        <v>3426.23</v>
      </c>
      <c r="H1280" s="22" t="n">
        <v>173775</v>
      </c>
      <c r="I1280" s="23" t="n">
        <v>2848.78</v>
      </c>
      <c r="J1280" s="18" t="n">
        <v>0.2027</v>
      </c>
      <c r="K1280" s="24" t="n">
        <v>0</v>
      </c>
      <c r="L1280" s="4" t="n">
        <v>43</v>
      </c>
      <c r="M1280" s="4" t="inlineStr">
        <is>
          <t>media</t>
        </is>
      </c>
      <c r="N1280" s="4" t="inlineStr">
        <is>
          <t>por encima de comparables</t>
        </is>
      </c>
      <c r="O1280" s="4" t="n"/>
    </row>
    <row r="1281">
      <c r="A1281" s="4" t="inlineStr">
        <is>
          <t>MD-1318</t>
        </is>
      </c>
      <c r="B1281" s="21" t="n">
        <v>46134</v>
      </c>
      <c r="C1281" s="4" t="inlineStr">
        <is>
          <t>Puente de Vallecas</t>
        </is>
      </c>
      <c r="D1281" s="4" t="n">
        <v>61</v>
      </c>
      <c r="E1281" s="4" t="inlineStr">
        <is>
          <t>obra nueva</t>
        </is>
      </c>
      <c r="F1281" s="22" t="n">
        <v>215000</v>
      </c>
      <c r="G1281" s="23" t="n">
        <v>3524.59</v>
      </c>
      <c r="H1281" s="22" t="n">
        <v>204732</v>
      </c>
      <c r="I1281" s="23" t="n">
        <v>3356.26</v>
      </c>
      <c r="J1281" s="18" t="n">
        <v>0.0502</v>
      </c>
      <c r="K1281" s="24" t="n">
        <v>37.5</v>
      </c>
      <c r="L1281" s="4" t="n">
        <v>42</v>
      </c>
      <c r="M1281" s="4" t="inlineStr">
        <is>
          <t>media</t>
        </is>
      </c>
      <c r="N1281" s="4" t="inlineStr">
        <is>
          <t>en linea con comparables</t>
        </is>
      </c>
      <c r="O1281" s="4" t="n"/>
    </row>
    <row r="1282">
      <c r="A1282" s="4" t="inlineStr">
        <is>
          <t>MD-1506</t>
        </is>
      </c>
      <c r="B1282" s="21" t="n">
        <v>46134</v>
      </c>
      <c r="C1282" s="4" t="inlineStr">
        <is>
          <t>Barajas</t>
        </is>
      </c>
      <c r="D1282" s="4" t="n">
        <v>174</v>
      </c>
      <c r="E1282" s="4" t="inlineStr">
        <is>
          <t>a reformar</t>
        </is>
      </c>
      <c r="F1282" s="22" t="n">
        <v>623000</v>
      </c>
      <c r="G1282" s="23" t="n">
        <v>3580.46</v>
      </c>
      <c r="H1282" s="22" t="n"/>
      <c r="I1282" s="23" t="n"/>
      <c r="J1282" s="18" t="n"/>
      <c r="K1282" s="24" t="n"/>
      <c r="L1282" s="4" t="n">
        <v>1</v>
      </c>
      <c r="M1282" s="4" t="inlineStr">
        <is>
          <t>sin muestra</t>
        </is>
      </c>
      <c r="N1282" s="4" t="inlineStr">
        <is>
          <t>no valorable</t>
        </is>
      </c>
      <c r="O1282" s="4" t="inlineStr">
        <is>
          <t>segmento con pocas operaciones comparables</t>
        </is>
      </c>
    </row>
    <row r="1283">
      <c r="A1283" s="4" t="inlineStr">
        <is>
          <t>MD-0247</t>
        </is>
      </c>
      <c r="B1283" s="21" t="n">
        <v>46135</v>
      </c>
      <c r="C1283" s="4" t="inlineStr">
        <is>
          <t>Puente de Vallecas</t>
        </is>
      </c>
      <c r="D1283" s="4" t="n">
        <v>43</v>
      </c>
      <c r="E1283" s="4" t="inlineStr">
        <is>
          <t>buen estado</t>
        </is>
      </c>
      <c r="F1283" s="22" t="n">
        <v>146000</v>
      </c>
      <c r="G1283" s="23" t="n">
        <v>3395.35</v>
      </c>
      <c r="H1283" s="22" t="n">
        <v>119133</v>
      </c>
      <c r="I1283" s="23" t="n">
        <v>2770.53</v>
      </c>
      <c r="J1283" s="18" t="n">
        <v>0.2255</v>
      </c>
      <c r="K1283" s="24" t="n">
        <v>0</v>
      </c>
      <c r="L1283" s="4" t="n">
        <v>35</v>
      </c>
      <c r="M1283" s="4" t="inlineStr">
        <is>
          <t>alta</t>
        </is>
      </c>
      <c r="N1283" s="4" t="inlineStr">
        <is>
          <t>por encima de comparables</t>
        </is>
      </c>
      <c r="O1283" s="4" t="n"/>
    </row>
    <row r="1284">
      <c r="A1284" s="4" t="inlineStr">
        <is>
          <t>MD-0288</t>
        </is>
      </c>
      <c r="B1284" s="21" t="n">
        <v>46135</v>
      </c>
      <c r="C1284" s="4" t="inlineStr">
        <is>
          <t>Villa de Vallecas</t>
        </is>
      </c>
      <c r="D1284" s="4" t="n">
        <v>52</v>
      </c>
      <c r="E1284" s="4" t="inlineStr">
        <is>
          <t>reformado</t>
        </is>
      </c>
      <c r="F1284" s="22" t="n">
        <v>314000</v>
      </c>
      <c r="G1284" s="23" t="n">
        <v>6038.46</v>
      </c>
      <c r="H1284" s="22" t="n">
        <v>193186</v>
      </c>
      <c r="I1284" s="23" t="n">
        <v>3715.11</v>
      </c>
      <c r="J1284" s="18" t="n">
        <v>0.6254</v>
      </c>
      <c r="K1284" s="24" t="n">
        <v>0</v>
      </c>
      <c r="L1284" s="4" t="n">
        <v>10</v>
      </c>
      <c r="M1284" s="4" t="inlineStr">
        <is>
          <t>media</t>
        </is>
      </c>
      <c r="N1284" s="4" t="inlineStr">
        <is>
          <t>por encima de comparables</t>
        </is>
      </c>
      <c r="O1284" s="4" t="n"/>
    </row>
    <row r="1285">
      <c r="A1285" s="4" t="inlineStr">
        <is>
          <t>MD-0074</t>
        </is>
      </c>
      <c r="B1285" s="21" t="n">
        <v>46135</v>
      </c>
      <c r="C1285" s="4" t="inlineStr">
        <is>
          <t>Hortaleza</t>
        </is>
      </c>
      <c r="D1285" s="4" t="n">
        <v>156</v>
      </c>
      <c r="E1285" s="4" t="inlineStr">
        <is>
          <t>obra nueva</t>
        </is>
      </c>
      <c r="F1285" s="22" t="n">
        <v>950000</v>
      </c>
      <c r="G1285" s="23" t="n">
        <v>6089.74</v>
      </c>
      <c r="H1285" s="22" t="n">
        <v>957269</v>
      </c>
      <c r="I1285" s="23" t="n">
        <v>6136.34</v>
      </c>
      <c r="J1285" s="18" t="n">
        <v>-0.0076</v>
      </c>
      <c r="K1285" s="24" t="n">
        <v>51.9</v>
      </c>
      <c r="L1285" s="4" t="n">
        <v>32</v>
      </c>
      <c r="M1285" s="4" t="inlineStr">
        <is>
          <t>alta</t>
        </is>
      </c>
      <c r="N1285" s="4" t="inlineStr">
        <is>
          <t>en linea con comparables</t>
        </is>
      </c>
      <c r="O1285" s="4" t="n"/>
    </row>
    <row r="1286">
      <c r="A1286" s="4" t="inlineStr">
        <is>
          <t>MD-0710</t>
        </is>
      </c>
      <c r="B1286" s="21" t="n">
        <v>46135</v>
      </c>
      <c r="C1286" s="4" t="inlineStr">
        <is>
          <t>Fuencarral-El Pardo</t>
        </is>
      </c>
      <c r="D1286" s="4" t="n">
        <v>60</v>
      </c>
      <c r="E1286" s="4" t="inlineStr">
        <is>
          <t>buen estado</t>
        </is>
      </c>
      <c r="F1286" s="22" t="n">
        <v>373000</v>
      </c>
      <c r="G1286" s="23" t="n">
        <v>6216.67</v>
      </c>
      <c r="H1286" s="22" t="n">
        <v>291313</v>
      </c>
      <c r="I1286" s="23" t="n">
        <v>4855.22</v>
      </c>
      <c r="J1286" s="18" t="n">
        <v>0.2804</v>
      </c>
      <c r="K1286" s="24" t="n">
        <v>0</v>
      </c>
      <c r="L1286" s="4" t="n">
        <v>20</v>
      </c>
      <c r="M1286" s="4" t="inlineStr">
        <is>
          <t>alta</t>
        </is>
      </c>
      <c r="N1286" s="4" t="inlineStr">
        <is>
          <t>por encima de comparables</t>
        </is>
      </c>
      <c r="O1286" s="4" t="n"/>
    </row>
    <row r="1287">
      <c r="A1287" s="4" t="inlineStr">
        <is>
          <t>MD-0112</t>
        </is>
      </c>
      <c r="B1287" s="21" t="n">
        <v>46135</v>
      </c>
      <c r="C1287" s="4" t="inlineStr">
        <is>
          <t>Puente de Vallecas</t>
        </is>
      </c>
      <c r="D1287" s="4" t="n">
        <v>58</v>
      </c>
      <c r="E1287" s="4" t="inlineStr">
        <is>
          <t>buen estado</t>
        </is>
      </c>
      <c r="F1287" s="22" t="n">
        <v>191000</v>
      </c>
      <c r="G1287" s="23" t="n">
        <v>3293.1</v>
      </c>
      <c r="H1287" s="22" t="n">
        <v>170398</v>
      </c>
      <c r="I1287" s="23" t="n">
        <v>2937.9</v>
      </c>
      <c r="J1287" s="18" t="n">
        <v>0.1209</v>
      </c>
      <c r="K1287" s="24" t="n">
        <v>19.8</v>
      </c>
      <c r="L1287" s="4" t="n">
        <v>37</v>
      </c>
      <c r="M1287" s="4" t="inlineStr">
        <is>
          <t>media</t>
        </is>
      </c>
      <c r="N1287" s="4" t="inlineStr">
        <is>
          <t>por encima de comparables</t>
        </is>
      </c>
      <c r="O1287" s="4" t="n"/>
    </row>
    <row r="1288">
      <c r="A1288" s="4" t="inlineStr">
        <is>
          <t>MD-0073</t>
        </is>
      </c>
      <c r="B1288" s="21" t="n">
        <v>46136</v>
      </c>
      <c r="C1288" s="4" t="inlineStr">
        <is>
          <t>Usera</t>
        </is>
      </c>
      <c r="D1288" s="4" t="n">
        <v>85</v>
      </c>
      <c r="E1288" s="4" t="inlineStr">
        <is>
          <t>reformado</t>
        </is>
      </c>
      <c r="F1288" s="22" t="n">
        <v>248000</v>
      </c>
      <c r="G1288" s="23" t="n">
        <v>2917.65</v>
      </c>
      <c r="H1288" s="22" t="n">
        <v>281821</v>
      </c>
      <c r="I1288" s="23" t="n">
        <v>3315.54</v>
      </c>
      <c r="J1288" s="18" t="n">
        <v>-0.12</v>
      </c>
      <c r="K1288" s="24" t="n">
        <v>80</v>
      </c>
      <c r="L1288" s="4" t="n">
        <v>12</v>
      </c>
      <c r="M1288" s="4" t="inlineStr">
        <is>
          <t>media</t>
        </is>
      </c>
      <c r="N1288" s="4" t="inlineStr">
        <is>
          <t>por debajo de comparables</t>
        </is>
      </c>
      <c r="O1288" s="4" t="n"/>
    </row>
    <row r="1289">
      <c r="A1289" s="4" t="inlineStr">
        <is>
          <t>MD-0163</t>
        </is>
      </c>
      <c r="B1289" s="21" t="n">
        <v>46136</v>
      </c>
      <c r="C1289" s="4" t="inlineStr">
        <is>
          <t>Chamberi</t>
        </is>
      </c>
      <c r="D1289" s="4" t="n">
        <v>50</v>
      </c>
      <c r="E1289" s="4" t="inlineStr">
        <is>
          <t>buen estado</t>
        </is>
      </c>
      <c r="F1289" s="22" t="n">
        <v>409000</v>
      </c>
      <c r="G1289" s="23" t="n">
        <v>8180</v>
      </c>
      <c r="H1289" s="22" t="n">
        <v>429630</v>
      </c>
      <c r="I1289" s="23" t="n">
        <v>8592.59</v>
      </c>
      <c r="J1289" s="18" t="n">
        <v>-0.048</v>
      </c>
      <c r="K1289" s="24" t="n">
        <v>62</v>
      </c>
      <c r="L1289" s="4" t="n">
        <v>9</v>
      </c>
      <c r="M1289" s="4" t="inlineStr">
        <is>
          <t>media</t>
        </is>
      </c>
      <c r="N1289" s="4" t="inlineStr">
        <is>
          <t>en linea con comparables</t>
        </is>
      </c>
      <c r="O1289" s="4" t="n"/>
    </row>
    <row r="1290">
      <c r="A1290" s="4" t="inlineStr">
        <is>
          <t>MD-0443</t>
        </is>
      </c>
      <c r="B1290" s="21" t="n">
        <v>46136</v>
      </c>
      <c r="C1290" s="4" t="inlineStr">
        <is>
          <t>Carabanchel</t>
        </is>
      </c>
      <c r="D1290" s="4" t="n">
        <v>54</v>
      </c>
      <c r="E1290" s="4" t="inlineStr">
        <is>
          <t>buen estado</t>
        </is>
      </c>
      <c r="F1290" s="22" t="n">
        <v>247000</v>
      </c>
      <c r="G1290" s="23" t="n">
        <v>4574.07</v>
      </c>
      <c r="H1290" s="22" t="n">
        <v>180534</v>
      </c>
      <c r="I1290" s="23" t="n">
        <v>3343.22</v>
      </c>
      <c r="J1290" s="18" t="n">
        <v>0.3682</v>
      </c>
      <c r="K1290" s="24" t="n">
        <v>0</v>
      </c>
      <c r="L1290" s="4" t="n">
        <v>34</v>
      </c>
      <c r="M1290" s="4" t="inlineStr">
        <is>
          <t>alta</t>
        </is>
      </c>
      <c r="N1290" s="4" t="inlineStr">
        <is>
          <t>por encima de comparables</t>
        </is>
      </c>
      <c r="O1290" s="4" t="n"/>
    </row>
    <row r="1291">
      <c r="A1291" s="4" t="inlineStr">
        <is>
          <t>MD-0012</t>
        </is>
      </c>
      <c r="B1291" s="21" t="n">
        <v>46136</v>
      </c>
      <c r="C1291" s="4" t="inlineStr">
        <is>
          <t>Puente de Vallecas</t>
        </is>
      </c>
      <c r="D1291" s="4" t="n">
        <v>41</v>
      </c>
      <c r="E1291" s="4" t="inlineStr">
        <is>
          <t>obra nueva</t>
        </is>
      </c>
      <c r="F1291" s="22" t="n">
        <v>152000</v>
      </c>
      <c r="G1291" s="23" t="n">
        <v>3707.32</v>
      </c>
      <c r="H1291" s="22" t="n">
        <v>134449</v>
      </c>
      <c r="I1291" s="23" t="n">
        <v>3279.24</v>
      </c>
      <c r="J1291" s="18" t="n">
        <v>0.1305</v>
      </c>
      <c r="K1291" s="24" t="n">
        <v>17.4</v>
      </c>
      <c r="L1291" s="4" t="n">
        <v>31</v>
      </c>
      <c r="M1291" s="4" t="inlineStr">
        <is>
          <t>alta</t>
        </is>
      </c>
      <c r="N1291" s="4" t="inlineStr">
        <is>
          <t>por encima de comparables</t>
        </is>
      </c>
      <c r="O1291" s="4" t="n"/>
    </row>
    <row r="1292">
      <c r="A1292" s="4" t="inlineStr">
        <is>
          <t>MD-0758</t>
        </is>
      </c>
      <c r="B1292" s="21" t="n">
        <v>46136</v>
      </c>
      <c r="C1292" s="4" t="inlineStr">
        <is>
          <t>Moncloa-Aravaca</t>
        </is>
      </c>
      <c r="D1292" s="4" t="n">
        <v>145</v>
      </c>
      <c r="E1292" s="4" t="inlineStr">
        <is>
          <t>obra nueva</t>
        </is>
      </c>
      <c r="F1292" s="22" t="n">
        <v>1359000</v>
      </c>
      <c r="G1292" s="23" t="n">
        <v>9372.41</v>
      </c>
      <c r="H1292" s="22" t="n">
        <v>1001096</v>
      </c>
      <c r="I1292" s="23" t="n">
        <v>6904.11</v>
      </c>
      <c r="J1292" s="18" t="n">
        <v>0.3575</v>
      </c>
      <c r="K1292" s="24" t="n">
        <v>0</v>
      </c>
      <c r="L1292" s="4" t="n">
        <v>5</v>
      </c>
      <c r="M1292" s="4" t="inlineStr">
        <is>
          <t>baja</t>
        </is>
      </c>
      <c r="N1292" s="4" t="inlineStr">
        <is>
          <t>por encima de comparables</t>
        </is>
      </c>
      <c r="O1292" s="4" t="n"/>
    </row>
    <row r="1293">
      <c r="A1293" s="4" t="inlineStr">
        <is>
          <t>MD-1461</t>
        </is>
      </c>
      <c r="B1293" s="21" t="n">
        <v>46136</v>
      </c>
      <c r="C1293" s="4" t="inlineStr">
        <is>
          <t>Latina</t>
        </is>
      </c>
      <c r="D1293" s="4" t="n">
        <v>54</v>
      </c>
      <c r="E1293" s="4" t="inlineStr">
        <is>
          <t>buen estado</t>
        </is>
      </c>
      <c r="F1293" s="22" t="n">
        <v>196000</v>
      </c>
      <c r="G1293" s="23" t="n">
        <v>3629.63</v>
      </c>
      <c r="H1293" s="22" t="n">
        <v>195413</v>
      </c>
      <c r="I1293" s="23" t="n">
        <v>3618.76</v>
      </c>
      <c r="J1293" s="18" t="n">
        <v>0.003</v>
      </c>
      <c r="K1293" s="24" t="n">
        <v>49.2</v>
      </c>
      <c r="L1293" s="4" t="n">
        <v>36</v>
      </c>
      <c r="M1293" s="4" t="inlineStr">
        <is>
          <t>alta</t>
        </is>
      </c>
      <c r="N1293" s="4" t="inlineStr">
        <is>
          <t>en linea con comparables</t>
        </is>
      </c>
      <c r="O1293" s="4" t="n"/>
    </row>
    <row r="1294">
      <c r="A1294" s="4" t="inlineStr">
        <is>
          <t>MD-1032</t>
        </is>
      </c>
      <c r="B1294" s="21" t="n">
        <v>46137</v>
      </c>
      <c r="C1294" s="4" t="inlineStr">
        <is>
          <t>Villa de Vallecas</t>
        </is>
      </c>
      <c r="D1294" s="4" t="n">
        <v>59</v>
      </c>
      <c r="E1294" s="4" t="inlineStr">
        <is>
          <t>buen estado</t>
        </is>
      </c>
      <c r="F1294" s="22" t="n">
        <v>153000</v>
      </c>
      <c r="G1294" s="23" t="n">
        <v>2593.22</v>
      </c>
      <c r="H1294" s="22" t="n">
        <v>225273</v>
      </c>
      <c r="I1294" s="23" t="n">
        <v>3818.18</v>
      </c>
      <c r="J1294" s="18" t="n">
        <v>-0.3208</v>
      </c>
      <c r="K1294" s="24" t="n">
        <v>100</v>
      </c>
      <c r="L1294" s="4" t="n">
        <v>11</v>
      </c>
      <c r="M1294" s="4" t="inlineStr">
        <is>
          <t>media</t>
        </is>
      </c>
      <c r="N1294" s="4" t="inlineStr">
        <is>
          <t>por debajo de comparables</t>
        </is>
      </c>
      <c r="O1294" s="4" t="n"/>
    </row>
    <row r="1295">
      <c r="A1295" s="4" t="inlineStr">
        <is>
          <t>MD-0265</t>
        </is>
      </c>
      <c r="B1295" s="21" t="n">
        <v>46137</v>
      </c>
      <c r="C1295" s="4" t="inlineStr">
        <is>
          <t>Carabanchel</t>
        </is>
      </c>
      <c r="D1295" s="4" t="n">
        <v>76</v>
      </c>
      <c r="E1295" s="4" t="inlineStr">
        <is>
          <t>buen estado</t>
        </is>
      </c>
      <c r="F1295" s="22" t="n">
        <v>255000</v>
      </c>
      <c r="G1295" s="23" t="n">
        <v>3355.26</v>
      </c>
      <c r="H1295" s="22" t="n">
        <v>248932</v>
      </c>
      <c r="I1295" s="23" t="n">
        <v>3275.42</v>
      </c>
      <c r="J1295" s="18" t="n">
        <v>0.0244</v>
      </c>
      <c r="K1295" s="24" t="n">
        <v>43.9</v>
      </c>
      <c r="L1295" s="4" t="n">
        <v>38</v>
      </c>
      <c r="M1295" s="4" t="inlineStr">
        <is>
          <t>media</t>
        </is>
      </c>
      <c r="N1295" s="4" t="inlineStr">
        <is>
          <t>en linea con comparables</t>
        </is>
      </c>
      <c r="O1295" s="4" t="n"/>
    </row>
    <row r="1296">
      <c r="A1296" s="4" t="inlineStr">
        <is>
          <t>MD-0576</t>
        </is>
      </c>
      <c r="B1296" s="21" t="n">
        <v>46137</v>
      </c>
      <c r="C1296" s="4" t="inlineStr">
        <is>
          <t>Ciudad Lineal</t>
        </is>
      </c>
      <c r="D1296" s="4" t="n">
        <v>71</v>
      </c>
      <c r="E1296" s="4" t="inlineStr">
        <is>
          <t>a reformar</t>
        </is>
      </c>
      <c r="F1296" s="22" t="n">
        <v>246000</v>
      </c>
      <c r="G1296" s="23" t="n">
        <v>3464.79</v>
      </c>
      <c r="H1296" s="22" t="n">
        <v>282816</v>
      </c>
      <c r="I1296" s="23" t="n">
        <v>3983.33</v>
      </c>
      <c r="J1296" s="18" t="n">
        <v>-0.1302</v>
      </c>
      <c r="K1296" s="24" t="n">
        <v>82.5</v>
      </c>
      <c r="L1296" s="4" t="n">
        <v>27</v>
      </c>
      <c r="M1296" s="4" t="inlineStr">
        <is>
          <t>media</t>
        </is>
      </c>
      <c r="N1296" s="4" t="inlineStr">
        <is>
          <t>por debajo de comparables</t>
        </is>
      </c>
      <c r="O1296" s="4" t="n"/>
    </row>
    <row r="1297">
      <c r="A1297" s="4" t="inlineStr">
        <is>
          <t>MD-1646</t>
        </is>
      </c>
      <c r="B1297" s="21" t="n">
        <v>46137</v>
      </c>
      <c r="C1297" s="4" t="inlineStr">
        <is>
          <t>Chamartin</t>
        </is>
      </c>
      <c r="D1297" s="4" t="n">
        <v>36</v>
      </c>
      <c r="E1297" s="4" t="inlineStr">
        <is>
          <t>buen estado</t>
        </is>
      </c>
      <c r="F1297" s="22" t="n">
        <v>255000</v>
      </c>
      <c r="G1297" s="23" t="n">
        <v>7083.33</v>
      </c>
      <c r="H1297" s="22" t="n">
        <v>282214</v>
      </c>
      <c r="I1297" s="23" t="n">
        <v>7839.27</v>
      </c>
      <c r="J1297" s="18" t="n">
        <v>-0.0964</v>
      </c>
      <c r="K1297" s="24" t="n">
        <v>74.09999999999999</v>
      </c>
      <c r="L1297" s="4" t="n">
        <v>10</v>
      </c>
      <c r="M1297" s="4" t="inlineStr">
        <is>
          <t>media</t>
        </is>
      </c>
      <c r="N1297" s="4" t="inlineStr">
        <is>
          <t>en linea con comparables</t>
        </is>
      </c>
      <c r="O1297" s="4" t="n"/>
    </row>
    <row r="1298">
      <c r="A1298" s="4" t="inlineStr">
        <is>
          <t>MD-1431</t>
        </is>
      </c>
      <c r="B1298" s="21" t="n">
        <v>46137</v>
      </c>
      <c r="C1298" s="4" t="inlineStr">
        <is>
          <t>Ciudad Lineal</t>
        </is>
      </c>
      <c r="D1298" s="4" t="n">
        <v>85</v>
      </c>
      <c r="E1298" s="4" t="inlineStr">
        <is>
          <t>buen estado</t>
        </is>
      </c>
      <c r="F1298" s="22" t="n">
        <v>351000</v>
      </c>
      <c r="G1298" s="23" t="n">
        <v>4129.41</v>
      </c>
      <c r="H1298" s="22" t="n">
        <v>357494</v>
      </c>
      <c r="I1298" s="23" t="n">
        <v>4205.81</v>
      </c>
      <c r="J1298" s="18" t="n">
        <v>-0.0182</v>
      </c>
      <c r="K1298" s="24" t="n">
        <v>54.5</v>
      </c>
      <c r="L1298" s="4" t="n">
        <v>23</v>
      </c>
      <c r="M1298" s="4" t="inlineStr">
        <is>
          <t>media</t>
        </is>
      </c>
      <c r="N1298" s="4" t="inlineStr">
        <is>
          <t>en linea con comparables</t>
        </is>
      </c>
      <c r="O1298" s="4" t="n"/>
    </row>
    <row r="1299">
      <c r="A1299" s="4" t="inlineStr">
        <is>
          <t>MD-1357</t>
        </is>
      </c>
      <c r="B1299" s="21" t="n">
        <v>46137</v>
      </c>
      <c r="C1299" s="4" t="inlineStr">
        <is>
          <t>Carabanchel</t>
        </is>
      </c>
      <c r="D1299" s="4" t="n">
        <v>45</v>
      </c>
      <c r="E1299" s="4" t="inlineStr">
        <is>
          <t>buen estado</t>
        </is>
      </c>
      <c r="F1299" s="22" t="n">
        <v>126000</v>
      </c>
      <c r="G1299" s="23" t="n">
        <v>2800</v>
      </c>
      <c r="H1299" s="22" t="n">
        <v>149118</v>
      </c>
      <c r="I1299" s="23" t="n">
        <v>3313.73</v>
      </c>
      <c r="J1299" s="18" t="n">
        <v>-0.155</v>
      </c>
      <c r="K1299" s="24" t="n">
        <v>88.8</v>
      </c>
      <c r="L1299" s="4" t="n">
        <v>27</v>
      </c>
      <c r="M1299" s="4" t="inlineStr">
        <is>
          <t>alta</t>
        </is>
      </c>
      <c r="N1299" s="4" t="inlineStr">
        <is>
          <t>por debajo de comparables</t>
        </is>
      </c>
      <c r="O1299" s="4" t="n"/>
    </row>
    <row r="1300">
      <c r="A1300" s="4" t="inlineStr">
        <is>
          <t>MD-1132</t>
        </is>
      </c>
      <c r="B1300" s="21" t="n">
        <v>46137</v>
      </c>
      <c r="C1300" s="4" t="inlineStr">
        <is>
          <t>San Blas-Canillejas</t>
        </is>
      </c>
      <c r="D1300" s="4" t="n">
        <v>43</v>
      </c>
      <c r="E1300" s="4" t="inlineStr">
        <is>
          <t>a reformar</t>
        </is>
      </c>
      <c r="F1300" s="22" t="n">
        <v>139000</v>
      </c>
      <c r="G1300" s="23" t="n">
        <v>3232.56</v>
      </c>
      <c r="H1300" s="22" t="n">
        <v>111407</v>
      </c>
      <c r="I1300" s="23" t="n">
        <v>2590.85</v>
      </c>
      <c r="J1300" s="18" t="n">
        <v>0.2477</v>
      </c>
      <c r="K1300" s="24" t="n">
        <v>0</v>
      </c>
      <c r="L1300" s="4" t="n">
        <v>12</v>
      </c>
      <c r="M1300" s="4" t="inlineStr">
        <is>
          <t>media</t>
        </is>
      </c>
      <c r="N1300" s="4" t="inlineStr">
        <is>
          <t>por encima de comparables</t>
        </is>
      </c>
      <c r="O1300" s="4" t="n"/>
    </row>
    <row r="1301">
      <c r="A1301" s="4" t="inlineStr">
        <is>
          <t>MD-0283</t>
        </is>
      </c>
      <c r="B1301" s="21" t="n">
        <v>46138</v>
      </c>
      <c r="C1301" s="4" t="inlineStr">
        <is>
          <t>Retiro</t>
        </is>
      </c>
      <c r="D1301" s="4" t="n">
        <v>116</v>
      </c>
      <c r="E1301" s="4" t="inlineStr">
        <is>
          <t>buen estado</t>
        </is>
      </c>
      <c r="F1301" s="22" t="n">
        <v>682000</v>
      </c>
      <c r="G1301" s="23" t="n">
        <v>5879.31</v>
      </c>
      <c r="H1301" s="22" t="n">
        <v>713684</v>
      </c>
      <c r="I1301" s="23" t="n">
        <v>6152.45</v>
      </c>
      <c r="J1301" s="18" t="n">
        <v>-0.0444</v>
      </c>
      <c r="K1301" s="24" t="n">
        <v>61.1</v>
      </c>
      <c r="L1301" s="4" t="n">
        <v>9</v>
      </c>
      <c r="M1301" s="4" t="inlineStr">
        <is>
          <t>media</t>
        </is>
      </c>
      <c r="N1301" s="4" t="inlineStr">
        <is>
          <t>en linea con comparables</t>
        </is>
      </c>
      <c r="O1301" s="4" t="n"/>
    </row>
    <row r="1302">
      <c r="A1302" s="4" t="inlineStr">
        <is>
          <t>MD-1761</t>
        </is>
      </c>
      <c r="B1302" s="21" t="n">
        <v>46138</v>
      </c>
      <c r="C1302" s="4" t="inlineStr">
        <is>
          <t>Centro</t>
        </is>
      </c>
      <c r="D1302" s="4" t="n">
        <v>76</v>
      </c>
      <c r="E1302" s="4" t="inlineStr">
        <is>
          <t>a reformar</t>
        </is>
      </c>
      <c r="F1302" s="22" t="n">
        <v>583000</v>
      </c>
      <c r="G1302" s="23" t="n">
        <v>7671.05</v>
      </c>
      <c r="H1302" s="22" t="n">
        <v>517911</v>
      </c>
      <c r="I1302" s="23" t="n">
        <v>6814.62</v>
      </c>
      <c r="J1302" s="18" t="n">
        <v>0.1257</v>
      </c>
      <c r="K1302" s="24" t="n">
        <v>18.6</v>
      </c>
      <c r="L1302" s="4" t="n">
        <v>21</v>
      </c>
      <c r="M1302" s="4" t="inlineStr">
        <is>
          <t>media</t>
        </is>
      </c>
      <c r="N1302" s="4" t="inlineStr">
        <is>
          <t>por encima de comparables</t>
        </is>
      </c>
      <c r="O1302" s="4" t="n"/>
    </row>
    <row r="1303">
      <c r="A1303" s="4" t="inlineStr">
        <is>
          <t>MD-1860</t>
        </is>
      </c>
      <c r="B1303" s="21" t="n">
        <v>46138</v>
      </c>
      <c r="C1303" s="4" t="inlineStr">
        <is>
          <t>Carabanchel</t>
        </is>
      </c>
      <c r="D1303" s="4" t="n">
        <v>56</v>
      </c>
      <c r="E1303" s="4" t="inlineStr">
        <is>
          <t>a reformar</t>
        </is>
      </c>
      <c r="F1303" s="22" t="n">
        <v>150000</v>
      </c>
      <c r="G1303" s="23" t="n">
        <v>2678.57</v>
      </c>
      <c r="H1303" s="22" t="n">
        <v>163274</v>
      </c>
      <c r="I1303" s="23" t="n">
        <v>2915.61</v>
      </c>
      <c r="J1303" s="18" t="n">
        <v>-0.0813</v>
      </c>
      <c r="K1303" s="24" t="n">
        <v>70.3</v>
      </c>
      <c r="L1303" s="4" t="n">
        <v>41</v>
      </c>
      <c r="M1303" s="4" t="inlineStr">
        <is>
          <t>alta</t>
        </is>
      </c>
      <c r="N1303" s="4" t="inlineStr">
        <is>
          <t>en linea con comparables</t>
        </is>
      </c>
      <c r="O1303" s="4" t="n"/>
    </row>
    <row r="1304">
      <c r="A1304" s="4" t="inlineStr">
        <is>
          <t>MD-1289</t>
        </is>
      </c>
      <c r="B1304" s="21" t="n">
        <v>46138</v>
      </c>
      <c r="C1304" s="4" t="inlineStr">
        <is>
          <t>Latina</t>
        </is>
      </c>
      <c r="D1304" s="4" t="n">
        <v>99</v>
      </c>
      <c r="E1304" s="4" t="inlineStr">
        <is>
          <t>reformado</t>
        </is>
      </c>
      <c r="F1304" s="22" t="n">
        <v>308000</v>
      </c>
      <c r="G1304" s="23" t="n">
        <v>3111.11</v>
      </c>
      <c r="H1304" s="22" t="n">
        <v>372214</v>
      </c>
      <c r="I1304" s="23" t="n">
        <v>3759.74</v>
      </c>
      <c r="J1304" s="18" t="n">
        <v>-0.1725</v>
      </c>
      <c r="K1304" s="24" t="n">
        <v>93.09999999999999</v>
      </c>
      <c r="L1304" s="4" t="n">
        <v>11</v>
      </c>
      <c r="M1304" s="4" t="inlineStr">
        <is>
          <t>media</t>
        </is>
      </c>
      <c r="N1304" s="4" t="inlineStr">
        <is>
          <t>por debajo de comparables</t>
        </is>
      </c>
      <c r="O1304" s="4" t="n"/>
    </row>
    <row r="1305">
      <c r="A1305" s="4" t="inlineStr">
        <is>
          <t>MD-0274</t>
        </is>
      </c>
      <c r="B1305" s="21" t="n">
        <v>46139</v>
      </c>
      <c r="C1305" s="4" t="inlineStr">
        <is>
          <t>Vicalvaro</t>
        </is>
      </c>
      <c r="D1305" s="4" t="n">
        <v>84</v>
      </c>
      <c r="E1305" s="4" t="inlineStr">
        <is>
          <t>reformado</t>
        </is>
      </c>
      <c r="F1305" s="22" t="n">
        <v>318000</v>
      </c>
      <c r="G1305" s="23" t="n">
        <v>3785.71</v>
      </c>
      <c r="H1305" s="22" t="n">
        <v>260778</v>
      </c>
      <c r="I1305" s="23" t="n">
        <v>3104.5</v>
      </c>
      <c r="J1305" s="18" t="n">
        <v>0.2194</v>
      </c>
      <c r="K1305" s="24" t="n">
        <v>0</v>
      </c>
      <c r="L1305" s="4" t="n">
        <v>21</v>
      </c>
      <c r="M1305" s="4" t="inlineStr">
        <is>
          <t>media</t>
        </is>
      </c>
      <c r="N1305" s="4" t="inlineStr">
        <is>
          <t>por encima de comparables</t>
        </is>
      </c>
      <c r="O1305" s="4" t="n"/>
    </row>
    <row r="1306">
      <c r="A1306" s="4" t="inlineStr">
        <is>
          <t>MD-0921</t>
        </is>
      </c>
      <c r="B1306" s="21" t="n">
        <v>46139</v>
      </c>
      <c r="C1306" s="4" t="inlineStr">
        <is>
          <t>Chamberi</t>
        </is>
      </c>
      <c r="D1306" s="4" t="n">
        <v>48</v>
      </c>
      <c r="E1306" s="4" t="inlineStr">
        <is>
          <t>buen estado</t>
        </is>
      </c>
      <c r="F1306" s="22" t="n">
        <v>296000</v>
      </c>
      <c r="G1306" s="23" t="n">
        <v>6166.67</v>
      </c>
      <c r="H1306" s="22" t="n">
        <v>352159</v>
      </c>
      <c r="I1306" s="23" t="n">
        <v>7336.65</v>
      </c>
      <c r="J1306" s="18" t="n">
        <v>-0.1595</v>
      </c>
      <c r="K1306" s="24" t="n">
        <v>89.90000000000001</v>
      </c>
      <c r="L1306" s="4" t="n">
        <v>12</v>
      </c>
      <c r="M1306" s="4" t="inlineStr">
        <is>
          <t>media</t>
        </is>
      </c>
      <c r="N1306" s="4" t="inlineStr">
        <is>
          <t>por debajo de comparables</t>
        </is>
      </c>
      <c r="O1306" s="4" t="n"/>
    </row>
    <row r="1307">
      <c r="A1307" s="4" t="inlineStr">
        <is>
          <t>MD-0627</t>
        </is>
      </c>
      <c r="B1307" s="21" t="n">
        <v>46139</v>
      </c>
      <c r="C1307" s="4" t="inlineStr">
        <is>
          <t>Hortaleza</t>
        </is>
      </c>
      <c r="D1307" s="4" t="n">
        <v>42</v>
      </c>
      <c r="E1307" s="4" t="inlineStr">
        <is>
          <t>buen estado</t>
        </is>
      </c>
      <c r="F1307" s="22" t="n">
        <v>278000</v>
      </c>
      <c r="G1307" s="23" t="n">
        <v>6619.05</v>
      </c>
      <c r="H1307" s="22" t="n"/>
      <c r="I1307" s="23" t="n"/>
      <c r="J1307" s="18" t="n"/>
      <c r="K1307" s="24" t="n"/>
      <c r="L1307" s="4" t="n">
        <v>3</v>
      </c>
      <c r="M1307" s="4" t="inlineStr">
        <is>
          <t>sin muestra</t>
        </is>
      </c>
      <c r="N1307" s="4" t="inlineStr">
        <is>
          <t>no valorable</t>
        </is>
      </c>
      <c r="O1307" s="4" t="inlineStr">
        <is>
          <t>segmento con pocas operaciones comparables</t>
        </is>
      </c>
    </row>
    <row r="1308">
      <c r="A1308" s="4" t="inlineStr">
        <is>
          <t>MD-1364</t>
        </is>
      </c>
      <c r="B1308" s="21" t="n">
        <v>46139</v>
      </c>
      <c r="C1308" s="4" t="inlineStr">
        <is>
          <t>Retiro</t>
        </is>
      </c>
      <c r="D1308" s="4" t="n">
        <v>92</v>
      </c>
      <c r="E1308" s="4" t="inlineStr">
        <is>
          <t>buen estado</t>
        </is>
      </c>
      <c r="F1308" s="22" t="n">
        <v>642000</v>
      </c>
      <c r="G1308" s="23" t="n">
        <v>6978.26</v>
      </c>
      <c r="H1308" s="22" t="n">
        <v>665580</v>
      </c>
      <c r="I1308" s="23" t="n">
        <v>7234.57</v>
      </c>
      <c r="J1308" s="18" t="n">
        <v>-0.0354</v>
      </c>
      <c r="K1308" s="24" t="n">
        <v>58.9</v>
      </c>
      <c r="L1308" s="4" t="n">
        <v>13</v>
      </c>
      <c r="M1308" s="4" t="inlineStr">
        <is>
          <t>media</t>
        </is>
      </c>
      <c r="N1308" s="4" t="inlineStr">
        <is>
          <t>en linea con comparables</t>
        </is>
      </c>
      <c r="O1308" s="4" t="n"/>
    </row>
    <row r="1309">
      <c r="A1309" s="4" t="inlineStr">
        <is>
          <t>MD-0707</t>
        </is>
      </c>
      <c r="B1309" s="21" t="n">
        <v>46140</v>
      </c>
      <c r="C1309" s="4" t="inlineStr">
        <is>
          <t>Ciudad Lineal</t>
        </is>
      </c>
      <c r="D1309" s="4" t="n">
        <v>86</v>
      </c>
      <c r="E1309" s="4" t="inlineStr">
        <is>
          <t>buen estado</t>
        </is>
      </c>
      <c r="F1309" s="22" t="n">
        <v>428000</v>
      </c>
      <c r="G1309" s="23" t="n">
        <v>4976.74</v>
      </c>
      <c r="H1309" s="22" t="n">
        <v>410153</v>
      </c>
      <c r="I1309" s="23" t="n">
        <v>4769.22</v>
      </c>
      <c r="J1309" s="18" t="n">
        <v>0.0435</v>
      </c>
      <c r="K1309" s="24" t="n">
        <v>39.1</v>
      </c>
      <c r="L1309" s="4" t="n">
        <v>25</v>
      </c>
      <c r="M1309" s="4" t="inlineStr">
        <is>
          <t>alta</t>
        </is>
      </c>
      <c r="N1309" s="4" t="inlineStr">
        <is>
          <t>en linea con comparables</t>
        </is>
      </c>
      <c r="O1309" s="4" t="n"/>
    </row>
    <row r="1310">
      <c r="A1310" s="4" t="inlineStr">
        <is>
          <t>MD-1784</t>
        </is>
      </c>
      <c r="B1310" s="21" t="n">
        <v>46140</v>
      </c>
      <c r="C1310" s="4" t="inlineStr">
        <is>
          <t>Tetuan</t>
        </is>
      </c>
      <c r="D1310" s="4" t="n">
        <v>56</v>
      </c>
      <c r="E1310" s="4" t="inlineStr">
        <is>
          <t>a reformar</t>
        </is>
      </c>
      <c r="F1310" s="22" t="n">
        <v>240000</v>
      </c>
      <c r="G1310" s="23" t="n">
        <v>4285.71</v>
      </c>
      <c r="H1310" s="22" t="n">
        <v>244141</v>
      </c>
      <c r="I1310" s="23" t="n">
        <v>4359.66</v>
      </c>
      <c r="J1310" s="18" t="n">
        <v>-0.017</v>
      </c>
      <c r="K1310" s="24" t="n">
        <v>54.2</v>
      </c>
      <c r="L1310" s="4" t="n">
        <v>18</v>
      </c>
      <c r="M1310" s="4" t="inlineStr">
        <is>
          <t>alta</t>
        </is>
      </c>
      <c r="N1310" s="4" t="inlineStr">
        <is>
          <t>en linea con comparables</t>
        </is>
      </c>
      <c r="O1310" s="4" t="n"/>
    </row>
    <row r="1311">
      <c r="A1311" s="4" t="inlineStr">
        <is>
          <t>MD-0199</t>
        </is>
      </c>
      <c r="B1311" s="21" t="n">
        <v>46140</v>
      </c>
      <c r="C1311" s="4" t="inlineStr">
        <is>
          <t>Retiro</t>
        </is>
      </c>
      <c r="D1311" s="4" t="n">
        <v>99</v>
      </c>
      <c r="E1311" s="4" t="inlineStr">
        <is>
          <t>reformado</t>
        </is>
      </c>
      <c r="F1311" s="22" t="n">
        <v>854000</v>
      </c>
      <c r="G1311" s="23" t="n">
        <v>8626.26</v>
      </c>
      <c r="H1311" s="22" t="n">
        <v>773475</v>
      </c>
      <c r="I1311" s="23" t="n">
        <v>7812.88</v>
      </c>
      <c r="J1311" s="18" t="n">
        <v>0.1041</v>
      </c>
      <c r="K1311" s="24" t="n">
        <v>24</v>
      </c>
      <c r="L1311" s="4" t="n">
        <v>12</v>
      </c>
      <c r="M1311" s="4" t="inlineStr">
        <is>
          <t>media</t>
        </is>
      </c>
      <c r="N1311" s="4" t="inlineStr">
        <is>
          <t>por encima de comparables</t>
        </is>
      </c>
      <c r="O1311" s="4" t="n"/>
    </row>
    <row r="1312">
      <c r="A1312" s="4" t="inlineStr">
        <is>
          <t>MD-0377</t>
        </is>
      </c>
      <c r="B1312" s="21" t="n">
        <v>46140</v>
      </c>
      <c r="C1312" s="4" t="inlineStr">
        <is>
          <t>Puente de Vallecas</t>
        </is>
      </c>
      <c r="D1312" s="4" t="n">
        <v>60</v>
      </c>
      <c r="E1312" s="4" t="inlineStr">
        <is>
          <t>buen estado</t>
        </is>
      </c>
      <c r="F1312" s="22" t="n">
        <v>163000</v>
      </c>
      <c r="G1312" s="23" t="n">
        <v>2716.67</v>
      </c>
      <c r="H1312" s="22" t="n">
        <v>176274</v>
      </c>
      <c r="I1312" s="23" t="n">
        <v>2937.9</v>
      </c>
      <c r="J1312" s="18" t="n">
        <v>-0.07530000000000001</v>
      </c>
      <c r="K1312" s="24" t="n">
        <v>68.8</v>
      </c>
      <c r="L1312" s="4" t="n">
        <v>43</v>
      </c>
      <c r="M1312" s="4" t="inlineStr">
        <is>
          <t>media</t>
        </is>
      </c>
      <c r="N1312" s="4" t="inlineStr">
        <is>
          <t>en linea con comparables</t>
        </is>
      </c>
      <c r="O1312" s="4" t="n"/>
    </row>
    <row r="1313">
      <c r="A1313" s="4" t="inlineStr">
        <is>
          <t>MD-1455</t>
        </is>
      </c>
      <c r="B1313" s="21" t="n">
        <v>46140</v>
      </c>
      <c r="C1313" s="4" t="inlineStr">
        <is>
          <t>Centro</t>
        </is>
      </c>
      <c r="D1313" s="4" t="n">
        <v>97</v>
      </c>
      <c r="E1313" s="4" t="inlineStr">
        <is>
          <t>reformado</t>
        </is>
      </c>
      <c r="F1313" s="22" t="n">
        <v>610000</v>
      </c>
      <c r="G1313" s="23" t="n">
        <v>6288.66</v>
      </c>
      <c r="H1313" s="22" t="n">
        <v>833011</v>
      </c>
      <c r="I1313" s="23" t="n">
        <v>8587.74</v>
      </c>
      <c r="J1313" s="18" t="n">
        <v>-0.2677</v>
      </c>
      <c r="K1313" s="24" t="n">
        <v>100</v>
      </c>
      <c r="L1313" s="4" t="n">
        <v>15</v>
      </c>
      <c r="M1313" s="4" t="inlineStr">
        <is>
          <t>media</t>
        </is>
      </c>
      <c r="N1313" s="4" t="inlineStr">
        <is>
          <t>por debajo de comparables</t>
        </is>
      </c>
      <c r="O1313" s="4" t="n"/>
    </row>
    <row r="1314">
      <c r="A1314" s="4" t="inlineStr">
        <is>
          <t>MD-1688</t>
        </is>
      </c>
      <c r="B1314" s="21" t="n">
        <v>46140</v>
      </c>
      <c r="C1314" s="4" t="inlineStr">
        <is>
          <t>Centro</t>
        </is>
      </c>
      <c r="D1314" s="4" t="n">
        <v>42</v>
      </c>
      <c r="E1314" s="4" t="inlineStr">
        <is>
          <t>a reformar</t>
        </is>
      </c>
      <c r="F1314" s="22" t="n">
        <v>249000</v>
      </c>
      <c r="G1314" s="23" t="n">
        <v>5928.57</v>
      </c>
      <c r="H1314" s="22" t="n">
        <v>230069</v>
      </c>
      <c r="I1314" s="23" t="n">
        <v>5477.83</v>
      </c>
      <c r="J1314" s="18" t="n">
        <v>0.0823</v>
      </c>
      <c r="K1314" s="24" t="n">
        <v>29.4</v>
      </c>
      <c r="L1314" s="4" t="n">
        <v>20</v>
      </c>
      <c r="M1314" s="4" t="inlineStr">
        <is>
          <t>alta</t>
        </is>
      </c>
      <c r="N1314" s="4" t="inlineStr">
        <is>
          <t>en linea con comparables</t>
        </is>
      </c>
      <c r="O1314" s="4" t="n"/>
    </row>
    <row r="1315">
      <c r="A1315" s="4" t="inlineStr">
        <is>
          <t>MD-0166</t>
        </is>
      </c>
      <c r="B1315" s="21" t="n">
        <v>46140</v>
      </c>
      <c r="C1315" s="4" t="inlineStr">
        <is>
          <t>Hortaleza</t>
        </is>
      </c>
      <c r="D1315" s="4" t="n">
        <v>60</v>
      </c>
      <c r="E1315" s="4" t="inlineStr">
        <is>
          <t>reformado</t>
        </is>
      </c>
      <c r="F1315" s="22" t="n">
        <v>423000</v>
      </c>
      <c r="G1315" s="23" t="n">
        <v>7050</v>
      </c>
      <c r="H1315" s="22" t="n">
        <v>379070</v>
      </c>
      <c r="I1315" s="23" t="n">
        <v>6317.83</v>
      </c>
      <c r="J1315" s="18" t="n">
        <v>0.1159</v>
      </c>
      <c r="K1315" s="24" t="n">
        <v>21</v>
      </c>
      <c r="L1315" s="4" t="n">
        <v>13</v>
      </c>
      <c r="M1315" s="4" t="inlineStr">
        <is>
          <t>media</t>
        </is>
      </c>
      <c r="N1315" s="4" t="inlineStr">
        <is>
          <t>por encima de comparables</t>
        </is>
      </c>
      <c r="O1315" s="4" t="n"/>
    </row>
    <row r="1316">
      <c r="A1316" s="4" t="inlineStr">
        <is>
          <t>MD-1237</t>
        </is>
      </c>
      <c r="B1316" s="21" t="n">
        <v>46140</v>
      </c>
      <c r="C1316" s="4" t="inlineStr">
        <is>
          <t>Tetuan</t>
        </is>
      </c>
      <c r="D1316" s="4" t="n">
        <v>33</v>
      </c>
      <c r="E1316" s="4" t="inlineStr">
        <is>
          <t>a reformar</t>
        </is>
      </c>
      <c r="F1316" s="22" t="n">
        <v>214000</v>
      </c>
      <c r="G1316" s="23" t="n">
        <v>6484.85</v>
      </c>
      <c r="H1316" s="22" t="n">
        <v>156348</v>
      </c>
      <c r="I1316" s="23" t="n">
        <v>4737.8</v>
      </c>
      <c r="J1316" s="18" t="n">
        <v>0.3687</v>
      </c>
      <c r="K1316" s="24" t="n">
        <v>0</v>
      </c>
      <c r="L1316" s="4" t="n">
        <v>14</v>
      </c>
      <c r="M1316" s="4" t="inlineStr">
        <is>
          <t>media</t>
        </is>
      </c>
      <c r="N1316" s="4" t="inlineStr">
        <is>
          <t>por encima de comparables</t>
        </is>
      </c>
      <c r="O1316" s="4" t="n"/>
    </row>
    <row r="1317">
      <c r="A1317" s="4" t="inlineStr">
        <is>
          <t>MD-0870</t>
        </is>
      </c>
      <c r="B1317" s="21" t="n">
        <v>46141</v>
      </c>
      <c r="C1317" s="4" t="inlineStr">
        <is>
          <t>Vicalvaro</t>
        </is>
      </c>
      <c r="D1317" s="4" t="n">
        <v>98</v>
      </c>
      <c r="E1317" s="4" t="inlineStr">
        <is>
          <t>obra nueva</t>
        </is>
      </c>
      <c r="F1317" s="22" t="n">
        <v>358000</v>
      </c>
      <c r="G1317" s="23" t="n">
        <v>3653.06</v>
      </c>
      <c r="H1317" s="22" t="n">
        <v>408307</v>
      </c>
      <c r="I1317" s="23" t="n">
        <v>4166.4</v>
      </c>
      <c r="J1317" s="18" t="n">
        <v>-0.1232</v>
      </c>
      <c r="K1317" s="24" t="n">
        <v>80.8</v>
      </c>
      <c r="L1317" s="4" t="n">
        <v>25</v>
      </c>
      <c r="M1317" s="4" t="inlineStr">
        <is>
          <t>alta</t>
        </is>
      </c>
      <c r="N1317" s="4" t="inlineStr">
        <is>
          <t>por debajo de comparables</t>
        </is>
      </c>
      <c r="O1317" s="4" t="n"/>
    </row>
    <row r="1318">
      <c r="A1318" s="4" t="inlineStr">
        <is>
          <t>MD-1378</t>
        </is>
      </c>
      <c r="B1318" s="21" t="n">
        <v>46141</v>
      </c>
      <c r="C1318" s="4" t="inlineStr">
        <is>
          <t>Centro</t>
        </is>
      </c>
      <c r="D1318" s="4" t="n">
        <v>100</v>
      </c>
      <c r="E1318" s="4" t="inlineStr">
        <is>
          <t>buen estado</t>
        </is>
      </c>
      <c r="F1318" s="22" t="n">
        <v>789000</v>
      </c>
      <c r="G1318" s="23" t="n">
        <v>7890</v>
      </c>
      <c r="H1318" s="22" t="n">
        <v>752884</v>
      </c>
      <c r="I1318" s="23" t="n">
        <v>7528.84</v>
      </c>
      <c r="J1318" s="18" t="n">
        <v>0.048</v>
      </c>
      <c r="K1318" s="24" t="n">
        <v>38</v>
      </c>
      <c r="L1318" s="4" t="n">
        <v>16</v>
      </c>
      <c r="M1318" s="4" t="inlineStr">
        <is>
          <t>media</t>
        </is>
      </c>
      <c r="N1318" s="4" t="inlineStr">
        <is>
          <t>en linea con comparables</t>
        </is>
      </c>
      <c r="O1318" s="4" t="n"/>
    </row>
    <row r="1319">
      <c r="A1319" s="4" t="inlineStr">
        <is>
          <t>MD-1903</t>
        </is>
      </c>
      <c r="B1319" s="21" t="n">
        <v>46142</v>
      </c>
      <c r="C1319" s="4" t="inlineStr">
        <is>
          <t>Vicalvaro</t>
        </is>
      </c>
      <c r="D1319" s="4" t="n">
        <v>50</v>
      </c>
      <c r="E1319" s="4" t="inlineStr">
        <is>
          <t>buen estado</t>
        </is>
      </c>
      <c r="F1319" s="22" t="n">
        <v>220000</v>
      </c>
      <c r="G1319" s="23" t="n">
        <v>4400</v>
      </c>
      <c r="H1319" s="22" t="n">
        <v>165730</v>
      </c>
      <c r="I1319" s="23" t="n">
        <v>3314.59</v>
      </c>
      <c r="J1319" s="18" t="n">
        <v>0.3275</v>
      </c>
      <c r="K1319" s="24" t="n">
        <v>0</v>
      </c>
      <c r="L1319" s="4" t="n">
        <v>10</v>
      </c>
      <c r="M1319" s="4" t="inlineStr">
        <is>
          <t>media</t>
        </is>
      </c>
      <c r="N1319" s="4" t="inlineStr">
        <is>
          <t>por encima de comparables</t>
        </is>
      </c>
      <c r="O1319" s="4" t="n"/>
    </row>
    <row r="1320">
      <c r="A1320" s="4" t="inlineStr">
        <is>
          <t>MD-0592</t>
        </is>
      </c>
      <c r="B1320" s="21" t="n">
        <v>46142</v>
      </c>
      <c r="C1320" s="4" t="inlineStr">
        <is>
          <t>Salamanca</t>
        </is>
      </c>
      <c r="D1320" s="4" t="n">
        <v>54</v>
      </c>
      <c r="E1320" s="4" t="inlineStr">
        <is>
          <t>buen estado</t>
        </is>
      </c>
      <c r="F1320" s="22" t="n">
        <v>471000</v>
      </c>
      <c r="G1320" s="23" t="n">
        <v>8722.219999999999</v>
      </c>
      <c r="H1320" s="22" t="n">
        <v>390273</v>
      </c>
      <c r="I1320" s="23" t="n">
        <v>7227.27</v>
      </c>
      <c r="J1320" s="18" t="n">
        <v>0.2068</v>
      </c>
      <c r="K1320" s="24" t="n">
        <v>0</v>
      </c>
      <c r="L1320" s="4" t="n">
        <v>15</v>
      </c>
      <c r="M1320" s="4" t="inlineStr">
        <is>
          <t>alta</t>
        </is>
      </c>
      <c r="N1320" s="4" t="inlineStr">
        <is>
          <t>por encima de comparables</t>
        </is>
      </c>
      <c r="O1320" s="4" t="n"/>
    </row>
    <row r="1321">
      <c r="A1321" s="4" t="inlineStr">
        <is>
          <t>MD-0883</t>
        </is>
      </c>
      <c r="B1321" s="21" t="n">
        <v>46142</v>
      </c>
      <c r="C1321" s="4" t="inlineStr">
        <is>
          <t>San Blas-Canillejas</t>
        </is>
      </c>
      <c r="D1321" s="4" t="n">
        <v>100</v>
      </c>
      <c r="E1321" s="4" t="inlineStr">
        <is>
          <t>buen estado</t>
        </is>
      </c>
      <c r="F1321" s="22" t="n">
        <v>322000</v>
      </c>
      <c r="G1321" s="23" t="n">
        <v>3220</v>
      </c>
      <c r="H1321" s="22" t="n">
        <v>385092</v>
      </c>
      <c r="I1321" s="23" t="n">
        <v>3850.92</v>
      </c>
      <c r="J1321" s="18" t="n">
        <v>-0.1638</v>
      </c>
      <c r="K1321" s="24" t="n">
        <v>91</v>
      </c>
      <c r="L1321" s="4" t="n">
        <v>23</v>
      </c>
      <c r="M1321" s="4" t="inlineStr">
        <is>
          <t>media</t>
        </is>
      </c>
      <c r="N1321" s="4" t="inlineStr">
        <is>
          <t>por debajo de comparables</t>
        </is>
      </c>
      <c r="O1321" s="4" t="n"/>
    </row>
    <row r="1322">
      <c r="A1322" s="4" t="inlineStr">
        <is>
          <t>MD-1291</t>
        </is>
      </c>
      <c r="B1322" s="21" t="n">
        <v>46142</v>
      </c>
      <c r="C1322" s="4" t="inlineStr">
        <is>
          <t>Chamartin</t>
        </is>
      </c>
      <c r="D1322" s="4" t="n">
        <v>118</v>
      </c>
      <c r="E1322" s="4" t="inlineStr">
        <is>
          <t>buen estado</t>
        </is>
      </c>
      <c r="F1322" s="22" t="n">
        <v>798000</v>
      </c>
      <c r="G1322" s="23" t="n">
        <v>6762.71</v>
      </c>
      <c r="H1322" s="22" t="n">
        <v>840394</v>
      </c>
      <c r="I1322" s="23" t="n">
        <v>7121.98</v>
      </c>
      <c r="J1322" s="18" t="n">
        <v>-0.0504</v>
      </c>
      <c r="K1322" s="24" t="n">
        <v>62.6</v>
      </c>
      <c r="L1322" s="4" t="n">
        <v>18</v>
      </c>
      <c r="M1322" s="4" t="inlineStr">
        <is>
          <t>alta</t>
        </is>
      </c>
      <c r="N1322" s="4" t="inlineStr">
        <is>
          <t>en linea con comparables</t>
        </is>
      </c>
      <c r="O1322" s="4" t="n"/>
    </row>
    <row r="1323">
      <c r="A1323" s="4" t="inlineStr">
        <is>
          <t>MD-0182</t>
        </is>
      </c>
      <c r="B1323" s="21" t="n">
        <v>46142</v>
      </c>
      <c r="C1323" s="4" t="inlineStr">
        <is>
          <t>Arganzuela</t>
        </is>
      </c>
      <c r="D1323" s="4" t="n">
        <v>108</v>
      </c>
      <c r="E1323" s="4" t="inlineStr">
        <is>
          <t>reformado</t>
        </is>
      </c>
      <c r="F1323" s="22" t="n">
        <v>642000</v>
      </c>
      <c r="G1323" s="23" t="n">
        <v>5944.44</v>
      </c>
      <c r="H1323" s="22" t="n">
        <v>648701</v>
      </c>
      <c r="I1323" s="23" t="n">
        <v>6006.49</v>
      </c>
      <c r="J1323" s="18" t="n">
        <v>-0.0103</v>
      </c>
      <c r="K1323" s="24" t="n">
        <v>52.6</v>
      </c>
      <c r="L1323" s="4" t="n">
        <v>6</v>
      </c>
      <c r="M1323" s="4" t="inlineStr">
        <is>
          <t>baja</t>
        </is>
      </c>
      <c r="N1323" s="4" t="inlineStr">
        <is>
          <t>en linea con comparables</t>
        </is>
      </c>
      <c r="O1323" s="4" t="n"/>
    </row>
    <row r="1324">
      <c r="A1324" s="4" t="inlineStr">
        <is>
          <t>MD-0878</t>
        </is>
      </c>
      <c r="B1324" s="21" t="n">
        <v>46142</v>
      </c>
      <c r="C1324" s="4" t="inlineStr">
        <is>
          <t>San Blas-Canillejas</t>
        </is>
      </c>
      <c r="D1324" s="4" t="n">
        <v>68</v>
      </c>
      <c r="E1324" s="4" t="inlineStr">
        <is>
          <t>reformado</t>
        </is>
      </c>
      <c r="F1324" s="22" t="n">
        <v>275000</v>
      </c>
      <c r="G1324" s="23" t="n">
        <v>4044.12</v>
      </c>
      <c r="H1324" s="22" t="n">
        <v>297246</v>
      </c>
      <c r="I1324" s="23" t="n">
        <v>4371.26</v>
      </c>
      <c r="J1324" s="18" t="n">
        <v>-0.07480000000000001</v>
      </c>
      <c r="K1324" s="24" t="n">
        <v>68.7</v>
      </c>
      <c r="L1324" s="4" t="n">
        <v>18</v>
      </c>
      <c r="M1324" s="4" t="inlineStr">
        <is>
          <t>media</t>
        </is>
      </c>
      <c r="N1324" s="4" t="inlineStr">
        <is>
          <t>en linea con comparables</t>
        </is>
      </c>
      <c r="O1324" s="4" t="n"/>
    </row>
    <row r="1325">
      <c r="A1325" s="4" t="inlineStr">
        <is>
          <t>MD-1890</t>
        </is>
      </c>
      <c r="B1325" s="21" t="n">
        <v>46142</v>
      </c>
      <c r="C1325" s="4" t="inlineStr">
        <is>
          <t>Vicalvaro</t>
        </is>
      </c>
      <c r="D1325" s="4" t="n">
        <v>83</v>
      </c>
      <c r="E1325" s="4" t="inlineStr">
        <is>
          <t>buen estado</t>
        </is>
      </c>
      <c r="F1325" s="22" t="n">
        <v>361000</v>
      </c>
      <c r="G1325" s="23" t="n">
        <v>4349.4</v>
      </c>
      <c r="H1325" s="22" t="n">
        <v>297971</v>
      </c>
      <c r="I1325" s="23" t="n">
        <v>3590.01</v>
      </c>
      <c r="J1325" s="18" t="n">
        <v>0.2115</v>
      </c>
      <c r="K1325" s="24" t="n">
        <v>0</v>
      </c>
      <c r="L1325" s="4" t="n">
        <v>20</v>
      </c>
      <c r="M1325" s="4" t="inlineStr">
        <is>
          <t>media</t>
        </is>
      </c>
      <c r="N1325" s="4" t="inlineStr">
        <is>
          <t>por encima de comparables</t>
        </is>
      </c>
      <c r="O1325" s="4" t="n"/>
    </row>
    <row r="1326">
      <c r="A1326" s="4" t="inlineStr">
        <is>
          <t>MD-0523</t>
        </is>
      </c>
      <c r="B1326" s="21" t="n">
        <v>46142</v>
      </c>
      <c r="C1326" s="4" t="inlineStr">
        <is>
          <t>Salamanca</t>
        </is>
      </c>
      <c r="D1326" s="4" t="n">
        <v>144</v>
      </c>
      <c r="E1326" s="4" t="inlineStr">
        <is>
          <t>reformado</t>
        </is>
      </c>
      <c r="F1326" s="22" t="n">
        <v>1636000</v>
      </c>
      <c r="G1326" s="23" t="n">
        <v>11361.11</v>
      </c>
      <c r="H1326" s="22" t="n">
        <v>1411128</v>
      </c>
      <c r="I1326" s="23" t="n">
        <v>9799.5</v>
      </c>
      <c r="J1326" s="18" t="n">
        <v>0.1594</v>
      </c>
      <c r="K1326" s="24" t="n">
        <v>10.2</v>
      </c>
      <c r="L1326" s="4" t="n">
        <v>10</v>
      </c>
      <c r="M1326" s="4" t="inlineStr">
        <is>
          <t>media</t>
        </is>
      </c>
      <c r="N1326" s="4" t="inlineStr">
        <is>
          <t>por encima de comparables</t>
        </is>
      </c>
      <c r="O1326" s="4" t="n"/>
    </row>
    <row r="1327">
      <c r="A1327" s="4" t="inlineStr">
        <is>
          <t>MD-0810</t>
        </is>
      </c>
      <c r="B1327" s="21" t="n">
        <v>46143</v>
      </c>
      <c r="C1327" s="4" t="inlineStr">
        <is>
          <t>Moratalaz</t>
        </is>
      </c>
      <c r="D1327" s="4" t="n">
        <v>88</v>
      </c>
      <c r="E1327" s="4" t="inlineStr">
        <is>
          <t>buen estado</t>
        </is>
      </c>
      <c r="F1327" s="22" t="n">
        <v>471000</v>
      </c>
      <c r="G1327" s="23" t="n">
        <v>5352.27</v>
      </c>
      <c r="H1327" s="22" t="n">
        <v>314482</v>
      </c>
      <c r="I1327" s="23" t="n">
        <v>3573.66</v>
      </c>
      <c r="J1327" s="18" t="n">
        <v>0.4977</v>
      </c>
      <c r="K1327" s="24" t="n">
        <v>0</v>
      </c>
      <c r="L1327" s="4" t="n">
        <v>17</v>
      </c>
      <c r="M1327" s="4" t="inlineStr">
        <is>
          <t>alta</t>
        </is>
      </c>
      <c r="N1327" s="4" t="inlineStr">
        <is>
          <t>por encima de comparables</t>
        </is>
      </c>
      <c r="O1327" s="4" t="n"/>
    </row>
    <row r="1328">
      <c r="A1328" s="4" t="inlineStr">
        <is>
          <t>MD-1269</t>
        </is>
      </c>
      <c r="B1328" s="21" t="n">
        <v>46143</v>
      </c>
      <c r="C1328" s="4" t="inlineStr">
        <is>
          <t>Vicalvaro</t>
        </is>
      </c>
      <c r="D1328" s="4" t="n">
        <v>105</v>
      </c>
      <c r="E1328" s="4" t="inlineStr">
        <is>
          <t>buen estado</t>
        </is>
      </c>
      <c r="F1328" s="22" t="n">
        <v>396000</v>
      </c>
      <c r="G1328" s="23" t="n">
        <v>3771.43</v>
      </c>
      <c r="H1328" s="22" t="n">
        <v>370903</v>
      </c>
      <c r="I1328" s="23" t="n">
        <v>3532.41</v>
      </c>
      <c r="J1328" s="18" t="n">
        <v>0.0677</v>
      </c>
      <c r="K1328" s="24" t="n">
        <v>33.1</v>
      </c>
      <c r="L1328" s="4" t="n">
        <v>22</v>
      </c>
      <c r="M1328" s="4" t="inlineStr">
        <is>
          <t>alta</t>
        </is>
      </c>
      <c r="N1328" s="4" t="inlineStr">
        <is>
          <t>en linea con comparables</t>
        </is>
      </c>
      <c r="O1328" s="4" t="n"/>
    </row>
    <row r="1329">
      <c r="A1329" s="4" t="inlineStr">
        <is>
          <t>MD-0596</t>
        </is>
      </c>
      <c r="B1329" s="21" t="n">
        <v>46143</v>
      </c>
      <c r="C1329" s="4" t="inlineStr">
        <is>
          <t>Barajas</t>
        </is>
      </c>
      <c r="D1329" s="4" t="n">
        <v>75</v>
      </c>
      <c r="E1329" s="4" t="inlineStr">
        <is>
          <t>buen estado</t>
        </is>
      </c>
      <c r="F1329" s="22" t="n">
        <v>365000</v>
      </c>
      <c r="G1329" s="23" t="n">
        <v>4866.67</v>
      </c>
      <c r="H1329" s="22" t="n">
        <v>306093</v>
      </c>
      <c r="I1329" s="23" t="n">
        <v>4081.24</v>
      </c>
      <c r="J1329" s="18" t="n">
        <v>0.1924</v>
      </c>
      <c r="K1329" s="24" t="n">
        <v>1.9</v>
      </c>
      <c r="L1329" s="4" t="n">
        <v>10</v>
      </c>
      <c r="M1329" s="4" t="inlineStr">
        <is>
          <t>media</t>
        </is>
      </c>
      <c r="N1329" s="4" t="inlineStr">
        <is>
          <t>por encima de comparables</t>
        </is>
      </c>
      <c r="O1329" s="4" t="n"/>
    </row>
    <row r="1330">
      <c r="A1330" s="4" t="inlineStr">
        <is>
          <t>MD-1887</t>
        </is>
      </c>
      <c r="B1330" s="21" t="n">
        <v>46143</v>
      </c>
      <c r="C1330" s="4" t="inlineStr">
        <is>
          <t>Salamanca</t>
        </is>
      </c>
      <c r="D1330" s="4" t="n">
        <v>91</v>
      </c>
      <c r="E1330" s="4" t="inlineStr">
        <is>
          <t>buen estado</t>
        </is>
      </c>
      <c r="F1330" s="22" t="n">
        <v>780000</v>
      </c>
      <c r="G1330" s="23" t="n">
        <v>8571.43</v>
      </c>
      <c r="H1330" s="22" t="n">
        <v>814032</v>
      </c>
      <c r="I1330" s="23" t="n">
        <v>8945.4</v>
      </c>
      <c r="J1330" s="18" t="n">
        <v>-0.0418</v>
      </c>
      <c r="K1330" s="24" t="n">
        <v>60.5</v>
      </c>
      <c r="L1330" s="4" t="n">
        <v>13</v>
      </c>
      <c r="M1330" s="4" t="inlineStr">
        <is>
          <t>media</t>
        </is>
      </c>
      <c r="N1330" s="4" t="inlineStr">
        <is>
          <t>en linea con comparables</t>
        </is>
      </c>
      <c r="O1330" s="4" t="n"/>
    </row>
    <row r="1331">
      <c r="A1331" s="4" t="inlineStr">
        <is>
          <t>MD-1950</t>
        </is>
      </c>
      <c r="B1331" s="21" t="n">
        <v>46143</v>
      </c>
      <c r="C1331" s="4" t="inlineStr">
        <is>
          <t>Puente de Vallecas</t>
        </is>
      </c>
      <c r="D1331" s="4" t="n">
        <v>84</v>
      </c>
      <c r="E1331" s="4" t="inlineStr">
        <is>
          <t>buen estado</t>
        </is>
      </c>
      <c r="F1331" s="22" t="n">
        <v>203000</v>
      </c>
      <c r="G1331" s="23" t="n">
        <v>2416.67</v>
      </c>
      <c r="H1331" s="22" t="n">
        <v>217559</v>
      </c>
      <c r="I1331" s="23" t="n">
        <v>2589.99</v>
      </c>
      <c r="J1331" s="18" t="n">
        <v>-0.0669</v>
      </c>
      <c r="K1331" s="24" t="n">
        <v>66.7</v>
      </c>
      <c r="L1331" s="4" t="n">
        <v>35</v>
      </c>
      <c r="M1331" s="4" t="inlineStr">
        <is>
          <t>alta</t>
        </is>
      </c>
      <c r="N1331" s="4" t="inlineStr">
        <is>
          <t>en linea con comparables</t>
        </is>
      </c>
      <c r="O1331" s="4" t="n"/>
    </row>
    <row r="1332">
      <c r="A1332" s="4" t="inlineStr">
        <is>
          <t>MD-0581</t>
        </is>
      </c>
      <c r="B1332" s="21" t="n">
        <v>46144</v>
      </c>
      <c r="C1332" s="4" t="inlineStr">
        <is>
          <t>Barajas</t>
        </is>
      </c>
      <c r="D1332" s="4" t="n">
        <v>75</v>
      </c>
      <c r="E1332" s="4" t="inlineStr">
        <is>
          <t>buen estado</t>
        </is>
      </c>
      <c r="F1332" s="22" t="n">
        <v>375000</v>
      </c>
      <c r="G1332" s="23" t="n">
        <v>5000</v>
      </c>
      <c r="H1332" s="22" t="n">
        <v>345938</v>
      </c>
      <c r="I1332" s="23" t="n">
        <v>4612.5</v>
      </c>
      <c r="J1332" s="18" t="n">
        <v>0.08400000000000001</v>
      </c>
      <c r="K1332" s="24" t="n">
        <v>29</v>
      </c>
      <c r="L1332" s="4" t="n">
        <v>11</v>
      </c>
      <c r="M1332" s="4" t="inlineStr">
        <is>
          <t>media</t>
        </is>
      </c>
      <c r="N1332" s="4" t="inlineStr">
        <is>
          <t>en linea con comparables</t>
        </is>
      </c>
      <c r="O1332" s="4" t="n"/>
    </row>
    <row r="1333">
      <c r="A1333" s="4" t="inlineStr">
        <is>
          <t>MD-0800</t>
        </is>
      </c>
      <c r="B1333" s="21" t="n">
        <v>46144</v>
      </c>
      <c r="C1333" s="4" t="inlineStr">
        <is>
          <t>Vicalvaro</t>
        </is>
      </c>
      <c r="D1333" s="4" t="n">
        <v>84</v>
      </c>
      <c r="E1333" s="4" t="inlineStr">
        <is>
          <t>reformado</t>
        </is>
      </c>
      <c r="F1333" s="22" t="n">
        <v>340000</v>
      </c>
      <c r="G1333" s="23" t="n">
        <v>4047.62</v>
      </c>
      <c r="H1333" s="22" t="n">
        <v>333925</v>
      </c>
      <c r="I1333" s="23" t="n">
        <v>3975.3</v>
      </c>
      <c r="J1333" s="18" t="n">
        <v>0.0182</v>
      </c>
      <c r="K1333" s="24" t="n">
        <v>45.5</v>
      </c>
      <c r="L1333" s="4" t="n">
        <v>24</v>
      </c>
      <c r="M1333" s="4" t="inlineStr">
        <is>
          <t>media</t>
        </is>
      </c>
      <c r="N1333" s="4" t="inlineStr">
        <is>
          <t>en linea con comparables</t>
        </is>
      </c>
      <c r="O1333" s="4" t="n"/>
    </row>
    <row r="1334">
      <c r="A1334" s="4" t="inlineStr">
        <is>
          <t>MD-1001</t>
        </is>
      </c>
      <c r="B1334" s="21" t="n">
        <v>46144</v>
      </c>
      <c r="C1334" s="4" t="inlineStr">
        <is>
          <t>Villa de Vallecas</t>
        </is>
      </c>
      <c r="D1334" s="4" t="n">
        <v>171</v>
      </c>
      <c r="E1334" s="4" t="inlineStr">
        <is>
          <t>buen estado</t>
        </is>
      </c>
      <c r="F1334" s="22" t="n">
        <v>676000</v>
      </c>
      <c r="G1334" s="23" t="n">
        <v>3953.22</v>
      </c>
      <c r="H1334" s="22" t="n"/>
      <c r="I1334" s="23" t="n"/>
      <c r="J1334" s="18" t="n"/>
      <c r="K1334" s="24" t="n"/>
      <c r="L1334" s="4" t="n">
        <v>4</v>
      </c>
      <c r="M1334" s="4" t="inlineStr">
        <is>
          <t>sin muestra</t>
        </is>
      </c>
      <c r="N1334" s="4" t="inlineStr">
        <is>
          <t>no valorable</t>
        </is>
      </c>
      <c r="O1334" s="4" t="inlineStr">
        <is>
          <t>segmento con pocas operaciones comparables</t>
        </is>
      </c>
    </row>
    <row r="1335">
      <c r="A1335" s="4" t="inlineStr">
        <is>
          <t>MD-0208</t>
        </is>
      </c>
      <c r="B1335" s="21" t="n">
        <v>46144</v>
      </c>
      <c r="C1335" s="4" t="inlineStr">
        <is>
          <t>Salamanca</t>
        </is>
      </c>
      <c r="D1335" s="4" t="n">
        <v>61</v>
      </c>
      <c r="E1335" s="4" t="inlineStr">
        <is>
          <t>a reformar</t>
        </is>
      </c>
      <c r="F1335" s="22" t="n">
        <v>555000</v>
      </c>
      <c r="G1335" s="23" t="n">
        <v>9098.360000000001</v>
      </c>
      <c r="H1335" s="22" t="n">
        <v>445208</v>
      </c>
      <c r="I1335" s="23" t="n">
        <v>7298.48</v>
      </c>
      <c r="J1335" s="18" t="n">
        <v>0.2466</v>
      </c>
      <c r="K1335" s="24" t="n">
        <v>0</v>
      </c>
      <c r="L1335" s="4" t="n">
        <v>23</v>
      </c>
      <c r="M1335" s="4" t="inlineStr">
        <is>
          <t>alta</t>
        </is>
      </c>
      <c r="N1335" s="4" t="inlineStr">
        <is>
          <t>por encima de comparables</t>
        </is>
      </c>
      <c r="O1335" s="4" t="n"/>
    </row>
    <row r="1336">
      <c r="A1336" s="4" t="inlineStr">
        <is>
          <t>MD-0054</t>
        </is>
      </c>
      <c r="B1336" s="21" t="n">
        <v>46144</v>
      </c>
      <c r="C1336" s="4" t="inlineStr">
        <is>
          <t>Puente de Vallecas</t>
        </is>
      </c>
      <c r="D1336" s="4" t="n">
        <v>88</v>
      </c>
      <c r="E1336" s="4" t="inlineStr">
        <is>
          <t>a reformar</t>
        </is>
      </c>
      <c r="F1336" s="22" t="n">
        <v>233000</v>
      </c>
      <c r="G1336" s="23" t="n">
        <v>2647.73</v>
      </c>
      <c r="H1336" s="22" t="n">
        <v>222153</v>
      </c>
      <c r="I1336" s="23" t="n">
        <v>2524.47</v>
      </c>
      <c r="J1336" s="18" t="n">
        <v>0.0488</v>
      </c>
      <c r="K1336" s="24" t="n">
        <v>37.8</v>
      </c>
      <c r="L1336" s="4" t="n">
        <v>37</v>
      </c>
      <c r="M1336" s="4" t="inlineStr">
        <is>
          <t>alta</t>
        </is>
      </c>
      <c r="N1336" s="4" t="inlineStr">
        <is>
          <t>en linea con comparables</t>
        </is>
      </c>
      <c r="O1336" s="4" t="n"/>
    </row>
    <row r="1337">
      <c r="A1337" s="4" t="inlineStr">
        <is>
          <t>MD-1635</t>
        </is>
      </c>
      <c r="B1337" s="21" t="n">
        <v>46144</v>
      </c>
      <c r="C1337" s="4" t="inlineStr">
        <is>
          <t>Retiro</t>
        </is>
      </c>
      <c r="D1337" s="4" t="n">
        <v>60</v>
      </c>
      <c r="E1337" s="4" t="inlineStr">
        <is>
          <t>buen estado</t>
        </is>
      </c>
      <c r="F1337" s="22" t="n">
        <v>455000</v>
      </c>
      <c r="G1337" s="23" t="n">
        <v>7583.33</v>
      </c>
      <c r="H1337" s="22" t="n">
        <v>413036</v>
      </c>
      <c r="I1337" s="23" t="n">
        <v>6883.93</v>
      </c>
      <c r="J1337" s="18" t="n">
        <v>0.1016</v>
      </c>
      <c r="K1337" s="24" t="n">
        <v>24.6</v>
      </c>
      <c r="L1337" s="4" t="n">
        <v>12</v>
      </c>
      <c r="M1337" s="4" t="inlineStr">
        <is>
          <t>media</t>
        </is>
      </c>
      <c r="N1337" s="4" t="inlineStr">
        <is>
          <t>por encima de comparables</t>
        </is>
      </c>
      <c r="O1337" s="4" t="n"/>
    </row>
    <row r="1338">
      <c r="A1338" s="4" t="inlineStr">
        <is>
          <t>MD-0556</t>
        </is>
      </c>
      <c r="B1338" s="21" t="n">
        <v>46145</v>
      </c>
      <c r="C1338" s="4" t="inlineStr">
        <is>
          <t>Ciudad Lineal</t>
        </is>
      </c>
      <c r="D1338" s="4" t="n">
        <v>54</v>
      </c>
      <c r="E1338" s="4" t="inlineStr">
        <is>
          <t>reformado</t>
        </is>
      </c>
      <c r="F1338" s="22" t="n">
        <v>302000</v>
      </c>
      <c r="G1338" s="23" t="n">
        <v>5592.59</v>
      </c>
      <c r="H1338" s="22" t="n">
        <v>260608</v>
      </c>
      <c r="I1338" s="23" t="n">
        <v>4826.07</v>
      </c>
      <c r="J1338" s="18" t="n">
        <v>0.1588</v>
      </c>
      <c r="K1338" s="24" t="n">
        <v>10.3</v>
      </c>
      <c r="L1338" s="4" t="n">
        <v>32</v>
      </c>
      <c r="M1338" s="4" t="inlineStr">
        <is>
          <t>alta</t>
        </is>
      </c>
      <c r="N1338" s="4" t="inlineStr">
        <is>
          <t>por encima de comparables</t>
        </is>
      </c>
      <c r="O1338" s="4" t="n"/>
    </row>
    <row r="1339">
      <c r="A1339" s="4" t="inlineStr">
        <is>
          <t>MD-1555</t>
        </is>
      </c>
      <c r="B1339" s="21" t="n">
        <v>46145</v>
      </c>
      <c r="C1339" s="4" t="inlineStr">
        <is>
          <t>Centro</t>
        </is>
      </c>
      <c r="D1339" s="4" t="n">
        <v>64</v>
      </c>
      <c r="E1339" s="4" t="inlineStr">
        <is>
          <t>a reformar</t>
        </is>
      </c>
      <c r="F1339" s="22" t="n">
        <v>425000</v>
      </c>
      <c r="G1339" s="23" t="n">
        <v>6640.62</v>
      </c>
      <c r="H1339" s="22" t="n">
        <v>439091</v>
      </c>
      <c r="I1339" s="23" t="n">
        <v>6860.8</v>
      </c>
      <c r="J1339" s="18" t="n">
        <v>-0.0321</v>
      </c>
      <c r="K1339" s="24" t="n">
        <v>58</v>
      </c>
      <c r="L1339" s="4" t="n">
        <v>25</v>
      </c>
      <c r="M1339" s="4" t="inlineStr">
        <is>
          <t>media</t>
        </is>
      </c>
      <c r="N1339" s="4" t="inlineStr">
        <is>
          <t>en linea con comparables</t>
        </is>
      </c>
      <c r="O1339" s="4" t="n"/>
    </row>
    <row r="1340">
      <c r="A1340" s="4" t="inlineStr">
        <is>
          <t>MD-1396</t>
        </is>
      </c>
      <c r="B1340" s="21" t="n">
        <v>46145</v>
      </c>
      <c r="C1340" s="4" t="inlineStr">
        <is>
          <t>Arganzuela</t>
        </is>
      </c>
      <c r="D1340" s="4" t="n">
        <v>97</v>
      </c>
      <c r="E1340" s="4" t="inlineStr">
        <is>
          <t>reformado</t>
        </is>
      </c>
      <c r="F1340" s="22" t="n">
        <v>547000</v>
      </c>
      <c r="G1340" s="23" t="n">
        <v>5639.18</v>
      </c>
      <c r="H1340" s="22" t="n">
        <v>586956</v>
      </c>
      <c r="I1340" s="23" t="n">
        <v>6051.09</v>
      </c>
      <c r="J1340" s="18" t="n">
        <v>-0.06809999999999999</v>
      </c>
      <c r="K1340" s="24" t="n">
        <v>67</v>
      </c>
      <c r="L1340" s="4" t="n">
        <v>10</v>
      </c>
      <c r="M1340" s="4" t="inlineStr">
        <is>
          <t>media</t>
        </is>
      </c>
      <c r="N1340" s="4" t="inlineStr">
        <is>
          <t>en linea con comparables</t>
        </is>
      </c>
      <c r="O1340" s="4" t="n"/>
    </row>
    <row r="1341">
      <c r="A1341" s="4" t="inlineStr">
        <is>
          <t>MD-0068</t>
        </is>
      </c>
      <c r="B1341" s="21" t="n">
        <v>46145</v>
      </c>
      <c r="C1341" s="4" t="inlineStr">
        <is>
          <t>Latina</t>
        </is>
      </c>
      <c r="D1341" s="4" t="n">
        <v>59</v>
      </c>
      <c r="E1341" s="4" t="inlineStr">
        <is>
          <t>reformado</t>
        </is>
      </c>
      <c r="F1341" s="22" t="n">
        <v>169000</v>
      </c>
      <c r="G1341" s="23" t="n">
        <v>2864.41</v>
      </c>
      <c r="H1341" s="22" t="n">
        <v>200526</v>
      </c>
      <c r="I1341" s="23" t="n">
        <v>3398.75</v>
      </c>
      <c r="J1341" s="18" t="n">
        <v>-0.1572</v>
      </c>
      <c r="K1341" s="24" t="n">
        <v>89.3</v>
      </c>
      <c r="L1341" s="4" t="n">
        <v>40</v>
      </c>
      <c r="M1341" s="4" t="inlineStr">
        <is>
          <t>media</t>
        </is>
      </c>
      <c r="N1341" s="4" t="inlineStr">
        <is>
          <t>por debajo de comparables</t>
        </is>
      </c>
      <c r="O1341" s="4" t="n"/>
    </row>
    <row r="1342">
      <c r="A1342" s="4" t="inlineStr">
        <is>
          <t>MD-0252</t>
        </is>
      </c>
      <c r="B1342" s="21" t="n">
        <v>46146</v>
      </c>
      <c r="C1342" s="4" t="inlineStr">
        <is>
          <t>Moncloa-Aravaca</t>
        </is>
      </c>
      <c r="D1342" s="4" t="n">
        <v>54</v>
      </c>
      <c r="E1342" s="4" t="inlineStr">
        <is>
          <t>reformado</t>
        </is>
      </c>
      <c r="F1342" s="22" t="n">
        <v>373000</v>
      </c>
      <c r="G1342" s="23" t="n">
        <v>6907.41</v>
      </c>
      <c r="H1342" s="22" t="n"/>
      <c r="I1342" s="23" t="n"/>
      <c r="J1342" s="18" t="n"/>
      <c r="K1342" s="24" t="n"/>
      <c r="L1342" s="4" t="n">
        <v>3</v>
      </c>
      <c r="M1342" s="4" t="inlineStr">
        <is>
          <t>sin muestra</t>
        </is>
      </c>
      <c r="N1342" s="4" t="inlineStr">
        <is>
          <t>no valorable</t>
        </is>
      </c>
      <c r="O1342" s="4" t="inlineStr">
        <is>
          <t>segmento con pocas operaciones comparables</t>
        </is>
      </c>
    </row>
    <row r="1343">
      <c r="A1343" s="4" t="inlineStr">
        <is>
          <t>MD-0275</t>
        </is>
      </c>
      <c r="B1343" s="21" t="n">
        <v>46146</v>
      </c>
      <c r="C1343" s="4" t="inlineStr">
        <is>
          <t>Carabanchel</t>
        </is>
      </c>
      <c r="D1343" s="4" t="n">
        <v>65</v>
      </c>
      <c r="E1343" s="4" t="inlineStr">
        <is>
          <t>buen estado</t>
        </is>
      </c>
      <c r="F1343" s="22" t="n">
        <v>211000</v>
      </c>
      <c r="G1343" s="23" t="n">
        <v>3246.15</v>
      </c>
      <c r="H1343" s="22" t="n">
        <v>218092</v>
      </c>
      <c r="I1343" s="23" t="n">
        <v>3355.26</v>
      </c>
      <c r="J1343" s="18" t="n">
        <v>-0.0325</v>
      </c>
      <c r="K1343" s="24" t="n">
        <v>58.1</v>
      </c>
      <c r="L1343" s="4" t="n">
        <v>45</v>
      </c>
      <c r="M1343" s="4" t="inlineStr">
        <is>
          <t>alta</t>
        </is>
      </c>
      <c r="N1343" s="4" t="inlineStr">
        <is>
          <t>en linea con comparables</t>
        </is>
      </c>
      <c r="O1343" s="4" t="n"/>
    </row>
    <row r="1344">
      <c r="A1344" s="4" t="inlineStr">
        <is>
          <t>MD-1793</t>
        </is>
      </c>
      <c r="B1344" s="21" t="n">
        <v>46146</v>
      </c>
      <c r="C1344" s="4" t="inlineStr">
        <is>
          <t>Salamanca</t>
        </is>
      </c>
      <c r="D1344" s="4" t="n">
        <v>51</v>
      </c>
      <c r="E1344" s="4" t="inlineStr">
        <is>
          <t>buen estado</t>
        </is>
      </c>
      <c r="F1344" s="22" t="n">
        <v>461000</v>
      </c>
      <c r="G1344" s="23" t="n">
        <v>9039.219999999999</v>
      </c>
      <c r="H1344" s="22" t="n">
        <v>395852</v>
      </c>
      <c r="I1344" s="23" t="n">
        <v>7761.81</v>
      </c>
      <c r="J1344" s="18" t="n">
        <v>0.1646</v>
      </c>
      <c r="K1344" s="24" t="n">
        <v>8.9</v>
      </c>
      <c r="L1344" s="4" t="n">
        <v>15</v>
      </c>
      <c r="M1344" s="4" t="inlineStr">
        <is>
          <t>alta</t>
        </is>
      </c>
      <c r="N1344" s="4" t="inlineStr">
        <is>
          <t>por encima de comparables</t>
        </is>
      </c>
      <c r="O1344" s="4" t="n"/>
    </row>
    <row r="1345">
      <c r="A1345" s="4" t="inlineStr">
        <is>
          <t>MD-0554</t>
        </is>
      </c>
      <c r="B1345" s="21" t="n">
        <v>46146</v>
      </c>
      <c r="C1345" s="4" t="inlineStr">
        <is>
          <t>Villa de Vallecas</t>
        </is>
      </c>
      <c r="D1345" s="4" t="n">
        <v>65</v>
      </c>
      <c r="E1345" s="4" t="inlineStr">
        <is>
          <t>a reformar</t>
        </is>
      </c>
      <c r="F1345" s="22" t="n">
        <v>219000</v>
      </c>
      <c r="G1345" s="23" t="n">
        <v>3369.23</v>
      </c>
      <c r="H1345" s="22" t="n">
        <v>208463</v>
      </c>
      <c r="I1345" s="23" t="n">
        <v>3207.12</v>
      </c>
      <c r="J1345" s="18" t="n">
        <v>0.0505</v>
      </c>
      <c r="K1345" s="24" t="n">
        <v>37.4</v>
      </c>
      <c r="L1345" s="4" t="n">
        <v>16</v>
      </c>
      <c r="M1345" s="4" t="inlineStr">
        <is>
          <t>media</t>
        </is>
      </c>
      <c r="N1345" s="4" t="inlineStr">
        <is>
          <t>en linea con comparables</t>
        </is>
      </c>
      <c r="O1345" s="4" t="n"/>
    </row>
    <row r="1346">
      <c r="A1346" s="4" t="inlineStr">
        <is>
          <t>MD-0318</t>
        </is>
      </c>
      <c r="B1346" s="21" t="n">
        <v>46146</v>
      </c>
      <c r="C1346" s="4" t="inlineStr">
        <is>
          <t>Chamartin</t>
        </is>
      </c>
      <c r="D1346" s="4" t="n">
        <v>69</v>
      </c>
      <c r="E1346" s="4" t="inlineStr">
        <is>
          <t>reformado</t>
        </is>
      </c>
      <c r="F1346" s="22" t="n">
        <v>581000</v>
      </c>
      <c r="G1346" s="23" t="n">
        <v>8420.290000000001</v>
      </c>
      <c r="H1346" s="22" t="n">
        <v>639178</v>
      </c>
      <c r="I1346" s="23" t="n">
        <v>9263.450000000001</v>
      </c>
      <c r="J1346" s="18" t="n">
        <v>-0.091</v>
      </c>
      <c r="K1346" s="24" t="n">
        <v>72.8</v>
      </c>
      <c r="L1346" s="4" t="n">
        <v>21</v>
      </c>
      <c r="M1346" s="4" t="inlineStr">
        <is>
          <t>alta</t>
        </is>
      </c>
      <c r="N1346" s="4" t="inlineStr">
        <is>
          <t>en linea con comparables</t>
        </is>
      </c>
      <c r="O1346" s="4" t="n"/>
    </row>
    <row r="1347">
      <c r="A1347" s="4" t="inlineStr">
        <is>
          <t>MD-1721</t>
        </is>
      </c>
      <c r="B1347" s="21" t="n">
        <v>46146</v>
      </c>
      <c r="C1347" s="4" t="inlineStr">
        <is>
          <t>Salamanca</t>
        </is>
      </c>
      <c r="D1347" s="4" t="n">
        <v>89</v>
      </c>
      <c r="E1347" s="4" t="inlineStr">
        <is>
          <t>buen estado</t>
        </is>
      </c>
      <c r="F1347" s="22" t="n">
        <v>699000</v>
      </c>
      <c r="G1347" s="23" t="n">
        <v>7853.93</v>
      </c>
      <c r="H1347" s="22" t="n">
        <v>703073</v>
      </c>
      <c r="I1347" s="23" t="n">
        <v>7899.69</v>
      </c>
      <c r="J1347" s="18" t="n">
        <v>-0.0058</v>
      </c>
      <c r="K1347" s="24" t="n">
        <v>51.4</v>
      </c>
      <c r="L1347" s="4" t="n">
        <v>16</v>
      </c>
      <c r="M1347" s="4" t="inlineStr">
        <is>
          <t>alta</t>
        </is>
      </c>
      <c r="N1347" s="4" t="inlineStr">
        <is>
          <t>en linea con comparables</t>
        </is>
      </c>
      <c r="O1347" s="4" t="n"/>
    </row>
    <row r="1348">
      <c r="A1348" s="4" t="inlineStr">
        <is>
          <t>MD-0858</t>
        </is>
      </c>
      <c r="B1348" s="21" t="n">
        <v>46146</v>
      </c>
      <c r="C1348" s="4" t="inlineStr">
        <is>
          <t>Centro</t>
        </is>
      </c>
      <c r="D1348" s="4" t="n">
        <v>119</v>
      </c>
      <c r="E1348" s="4" t="inlineStr">
        <is>
          <t>obra nueva</t>
        </is>
      </c>
      <c r="F1348" s="22" t="n">
        <v>978000</v>
      </c>
      <c r="G1348" s="23" t="n">
        <v>8218.49</v>
      </c>
      <c r="H1348" s="22" t="n">
        <v>867084</v>
      </c>
      <c r="I1348" s="23" t="n">
        <v>7286.42</v>
      </c>
      <c r="J1348" s="18" t="n">
        <v>0.1279</v>
      </c>
      <c r="K1348" s="24" t="n">
        <v>18</v>
      </c>
      <c r="L1348" s="4" t="n">
        <v>15</v>
      </c>
      <c r="M1348" s="4" t="inlineStr">
        <is>
          <t>alta</t>
        </is>
      </c>
      <c r="N1348" s="4" t="inlineStr">
        <is>
          <t>por encima de comparables</t>
        </is>
      </c>
      <c r="O1348" s="4" t="n"/>
    </row>
    <row r="1349">
      <c r="A1349" s="4" t="inlineStr">
        <is>
          <t>MD-1547</t>
        </is>
      </c>
      <c r="B1349" s="21" t="n">
        <v>46146</v>
      </c>
      <c r="C1349" s="4" t="inlineStr">
        <is>
          <t>Fuencarral-El Pardo</t>
        </is>
      </c>
      <c r="D1349" s="4" t="n">
        <v>93</v>
      </c>
      <c r="E1349" s="4" t="inlineStr">
        <is>
          <t>obra nueva</t>
        </is>
      </c>
      <c r="F1349" s="22" t="n">
        <v>832000</v>
      </c>
      <c r="G1349" s="23" t="n">
        <v>8946.24</v>
      </c>
      <c r="H1349" s="22" t="n">
        <v>611854</v>
      </c>
      <c r="I1349" s="23" t="n">
        <v>6579.08</v>
      </c>
      <c r="J1349" s="18" t="n">
        <v>0.3598</v>
      </c>
      <c r="K1349" s="24" t="n">
        <v>0</v>
      </c>
      <c r="L1349" s="4" t="n">
        <v>26</v>
      </c>
      <c r="M1349" s="4" t="inlineStr">
        <is>
          <t>alta</t>
        </is>
      </c>
      <c r="N1349" s="4" t="inlineStr">
        <is>
          <t>por encima de comparables</t>
        </is>
      </c>
      <c r="O1349" s="4" t="n"/>
    </row>
    <row r="1350">
      <c r="A1350" s="4" t="inlineStr">
        <is>
          <t>MD-1286</t>
        </is>
      </c>
      <c r="B1350" s="21" t="n">
        <v>46147</v>
      </c>
      <c r="C1350" s="4" t="inlineStr">
        <is>
          <t>Barajas</t>
        </is>
      </c>
      <c r="D1350" s="4" t="n">
        <v>125</v>
      </c>
      <c r="E1350" s="4" t="inlineStr">
        <is>
          <t>buen estado</t>
        </is>
      </c>
      <c r="F1350" s="22" t="n">
        <v>544000</v>
      </c>
      <c r="G1350" s="23" t="n">
        <v>4352</v>
      </c>
      <c r="H1350" s="22" t="n"/>
      <c r="I1350" s="23" t="n"/>
      <c r="J1350" s="18" t="n"/>
      <c r="K1350" s="24" t="n"/>
      <c r="L1350" s="4" t="n">
        <v>0</v>
      </c>
      <c r="M1350" s="4" t="inlineStr">
        <is>
          <t>sin muestra</t>
        </is>
      </c>
      <c r="N1350" s="4" t="inlineStr">
        <is>
          <t>no valorable</t>
        </is>
      </c>
      <c r="O1350" s="4" t="inlineStr">
        <is>
          <t>segmento con pocas operaciones comparables</t>
        </is>
      </c>
    </row>
    <row r="1351">
      <c r="A1351" s="4" t="inlineStr">
        <is>
          <t>MD-0943</t>
        </is>
      </c>
      <c r="B1351" s="21" t="n">
        <v>46147</v>
      </c>
      <c r="C1351" s="4" t="inlineStr">
        <is>
          <t>Puente de Vallecas</t>
        </is>
      </c>
      <c r="D1351" s="4" t="n">
        <v>93</v>
      </c>
      <c r="E1351" s="4" t="inlineStr">
        <is>
          <t>buen estado</t>
        </is>
      </c>
      <c r="F1351" s="22" t="n">
        <v>209000</v>
      </c>
      <c r="G1351" s="23" t="n">
        <v>2247.31</v>
      </c>
      <c r="H1351" s="22" t="n">
        <v>242466</v>
      </c>
      <c r="I1351" s="23" t="n">
        <v>2607.16</v>
      </c>
      <c r="J1351" s="18" t="n">
        <v>-0.138</v>
      </c>
      <c r="K1351" s="24" t="n">
        <v>84.5</v>
      </c>
      <c r="L1351" s="4" t="n">
        <v>31</v>
      </c>
      <c r="M1351" s="4" t="inlineStr">
        <is>
          <t>alta</t>
        </is>
      </c>
      <c r="N1351" s="4" t="inlineStr">
        <is>
          <t>por debajo de comparables</t>
        </is>
      </c>
      <c r="O1351" s="4" t="n"/>
    </row>
    <row r="1352">
      <c r="A1352" s="4" t="inlineStr">
        <is>
          <t>MD-1436</t>
        </is>
      </c>
      <c r="B1352" s="21" t="n">
        <v>46147</v>
      </c>
      <c r="C1352" s="4" t="inlineStr">
        <is>
          <t>Villaverde</t>
        </is>
      </c>
      <c r="D1352" s="4" t="n">
        <v>74</v>
      </c>
      <c r="E1352" s="4" t="inlineStr">
        <is>
          <t>a reformar</t>
        </is>
      </c>
      <c r="F1352" s="22" t="n">
        <v>133000</v>
      </c>
      <c r="G1352" s="23" t="n">
        <v>1797.3</v>
      </c>
      <c r="H1352" s="22" t="n">
        <v>128975</v>
      </c>
      <c r="I1352" s="23" t="n">
        <v>1742.9</v>
      </c>
      <c r="J1352" s="18" t="n">
        <v>0.0312</v>
      </c>
      <c r="K1352" s="24" t="n">
        <v>42.2</v>
      </c>
      <c r="L1352" s="4" t="n">
        <v>10</v>
      </c>
      <c r="M1352" s="4" t="inlineStr">
        <is>
          <t>media</t>
        </is>
      </c>
      <c r="N1352" s="4" t="inlineStr">
        <is>
          <t>en linea con comparables</t>
        </is>
      </c>
      <c r="O1352" s="4" t="n"/>
    </row>
    <row r="1353">
      <c r="A1353" s="4" t="inlineStr">
        <is>
          <t>MD-1449</t>
        </is>
      </c>
      <c r="B1353" s="21" t="n">
        <v>46147</v>
      </c>
      <c r="C1353" s="4" t="inlineStr">
        <is>
          <t>Villa de Vallecas</t>
        </is>
      </c>
      <c r="D1353" s="4" t="n">
        <v>56</v>
      </c>
      <c r="E1353" s="4" t="inlineStr">
        <is>
          <t>buen estado</t>
        </is>
      </c>
      <c r="F1353" s="22" t="n">
        <v>246000</v>
      </c>
      <c r="G1353" s="23" t="n">
        <v>4392.86</v>
      </c>
      <c r="H1353" s="22" t="n">
        <v>183126</v>
      </c>
      <c r="I1353" s="23" t="n">
        <v>3270.11</v>
      </c>
      <c r="J1353" s="18" t="n">
        <v>0.3433</v>
      </c>
      <c r="K1353" s="24" t="n">
        <v>0</v>
      </c>
      <c r="L1353" s="4" t="n">
        <v>13</v>
      </c>
      <c r="M1353" s="4" t="inlineStr">
        <is>
          <t>media</t>
        </is>
      </c>
      <c r="N1353" s="4" t="inlineStr">
        <is>
          <t>por encima de comparables</t>
        </is>
      </c>
      <c r="O1353" s="4" t="n"/>
    </row>
    <row r="1354">
      <c r="A1354" s="4" t="inlineStr">
        <is>
          <t>MD-0136</t>
        </is>
      </c>
      <c r="B1354" s="21" t="n">
        <v>46147</v>
      </c>
      <c r="C1354" s="4" t="inlineStr">
        <is>
          <t>Puente de Vallecas</t>
        </is>
      </c>
      <c r="D1354" s="4" t="n">
        <v>39</v>
      </c>
      <c r="E1354" s="4" t="inlineStr">
        <is>
          <t>buen estado</t>
        </is>
      </c>
      <c r="F1354" s="22" t="n">
        <v>145000</v>
      </c>
      <c r="G1354" s="23" t="n">
        <v>3717.95</v>
      </c>
      <c r="H1354" s="22" t="n">
        <v>109023</v>
      </c>
      <c r="I1354" s="23" t="n">
        <v>2795.45</v>
      </c>
      <c r="J1354" s="18" t="n">
        <v>0.33</v>
      </c>
      <c r="K1354" s="24" t="n">
        <v>0</v>
      </c>
      <c r="L1354" s="4" t="n">
        <v>31</v>
      </c>
      <c r="M1354" s="4" t="inlineStr">
        <is>
          <t>alta</t>
        </is>
      </c>
      <c r="N1354" s="4" t="inlineStr">
        <is>
          <t>por encima de comparables</t>
        </is>
      </c>
      <c r="O1354" s="4" t="n"/>
    </row>
    <row r="1355">
      <c r="A1355" s="4" t="inlineStr">
        <is>
          <t>MD-0979</t>
        </is>
      </c>
      <c r="B1355" s="21" t="n">
        <v>46147</v>
      </c>
      <c r="C1355" s="4" t="inlineStr">
        <is>
          <t>Carabanchel</t>
        </is>
      </c>
      <c r="D1355" s="4" t="n">
        <v>77</v>
      </c>
      <c r="E1355" s="4" t="inlineStr">
        <is>
          <t>reformado</t>
        </is>
      </c>
      <c r="F1355" s="22" t="n">
        <v>245000</v>
      </c>
      <c r="G1355" s="23" t="n">
        <v>3181.82</v>
      </c>
      <c r="H1355" s="22" t="n">
        <v>252220</v>
      </c>
      <c r="I1355" s="23" t="n">
        <v>3275.59</v>
      </c>
      <c r="J1355" s="18" t="n">
        <v>-0.0286</v>
      </c>
      <c r="K1355" s="24" t="n">
        <v>57.2</v>
      </c>
      <c r="L1355" s="4" t="n">
        <v>39</v>
      </c>
      <c r="M1355" s="4" t="inlineStr">
        <is>
          <t>media</t>
        </is>
      </c>
      <c r="N1355" s="4" t="inlineStr">
        <is>
          <t>en linea con comparables</t>
        </is>
      </c>
      <c r="O1355" s="4" t="n"/>
    </row>
    <row r="1356">
      <c r="A1356" s="4" t="inlineStr">
        <is>
          <t>MD-0336</t>
        </is>
      </c>
      <c r="B1356" s="21" t="n">
        <v>46147</v>
      </c>
      <c r="C1356" s="4" t="inlineStr">
        <is>
          <t>San Blas-Canillejas</t>
        </is>
      </c>
      <c r="D1356" s="4" t="n">
        <v>40</v>
      </c>
      <c r="E1356" s="4" t="inlineStr">
        <is>
          <t>reformado</t>
        </is>
      </c>
      <c r="F1356" s="22" t="n">
        <v>183000</v>
      </c>
      <c r="G1356" s="23" t="n">
        <v>4575</v>
      </c>
      <c r="H1356" s="22" t="n">
        <v>151231</v>
      </c>
      <c r="I1356" s="23" t="n">
        <v>3780.76</v>
      </c>
      <c r="J1356" s="18" t="n">
        <v>0.2101</v>
      </c>
      <c r="K1356" s="24" t="n">
        <v>0</v>
      </c>
      <c r="L1356" s="4" t="n">
        <v>10</v>
      </c>
      <c r="M1356" s="4" t="inlineStr">
        <is>
          <t>media</t>
        </is>
      </c>
      <c r="N1356" s="4" t="inlineStr">
        <is>
          <t>por encima de comparables</t>
        </is>
      </c>
      <c r="O1356" s="4" t="n"/>
    </row>
    <row r="1357">
      <c r="A1357" s="4" t="inlineStr">
        <is>
          <t>MD-1366</t>
        </is>
      </c>
      <c r="B1357" s="21" t="n">
        <v>46147</v>
      </c>
      <c r="C1357" s="4" t="inlineStr">
        <is>
          <t>Chamartin</t>
        </is>
      </c>
      <c r="D1357" s="4" t="n">
        <v>139</v>
      </c>
      <c r="E1357" s="4" t="inlineStr">
        <is>
          <t>reformado</t>
        </is>
      </c>
      <c r="F1357" s="22" t="n">
        <v>839000</v>
      </c>
      <c r="G1357" s="23" t="n">
        <v>6035.97</v>
      </c>
      <c r="H1357" s="22" t="n">
        <v>901374</v>
      </c>
      <c r="I1357" s="23" t="n">
        <v>6484.7</v>
      </c>
      <c r="J1357" s="18" t="n">
        <v>-0.0692</v>
      </c>
      <c r="K1357" s="24" t="n">
        <v>67.3</v>
      </c>
      <c r="L1357" s="4" t="n">
        <v>14</v>
      </c>
      <c r="M1357" s="4" t="inlineStr">
        <is>
          <t>media</t>
        </is>
      </c>
      <c r="N1357" s="4" t="inlineStr">
        <is>
          <t>en linea con comparables</t>
        </is>
      </c>
      <c r="O1357" s="4" t="n"/>
    </row>
    <row r="1358">
      <c r="A1358" s="4" t="inlineStr">
        <is>
          <t>MD-0044</t>
        </is>
      </c>
      <c r="B1358" s="21" t="n">
        <v>46148</v>
      </c>
      <c r="C1358" s="4" t="inlineStr">
        <is>
          <t>Puente de Vallecas</t>
        </is>
      </c>
      <c r="D1358" s="4" t="n">
        <v>76</v>
      </c>
      <c r="E1358" s="4" t="inlineStr">
        <is>
          <t>a reformar</t>
        </is>
      </c>
      <c r="F1358" s="22" t="n">
        <v>209000</v>
      </c>
      <c r="G1358" s="23" t="n">
        <v>2750</v>
      </c>
      <c r="H1358" s="22" t="n">
        <v>191013</v>
      </c>
      <c r="I1358" s="23" t="n">
        <v>2513.32</v>
      </c>
      <c r="J1358" s="18" t="n">
        <v>0.09420000000000001</v>
      </c>
      <c r="K1358" s="24" t="n">
        <v>26.5</v>
      </c>
      <c r="L1358" s="4" t="n">
        <v>42</v>
      </c>
      <c r="M1358" s="4" t="inlineStr">
        <is>
          <t>alta</t>
        </is>
      </c>
      <c r="N1358" s="4" t="inlineStr">
        <is>
          <t>en linea con comparables</t>
        </is>
      </c>
      <c r="O1358" s="4" t="n"/>
    </row>
    <row r="1359">
      <c r="A1359" s="4" t="inlineStr">
        <is>
          <t>MD-0977</t>
        </is>
      </c>
      <c r="B1359" s="21" t="n">
        <v>46148</v>
      </c>
      <c r="C1359" s="4" t="inlineStr">
        <is>
          <t>Tetuan</t>
        </is>
      </c>
      <c r="D1359" s="4" t="n">
        <v>156</v>
      </c>
      <c r="E1359" s="4" t="inlineStr">
        <is>
          <t>buen estado</t>
        </is>
      </c>
      <c r="F1359" s="22" t="n">
        <v>992000</v>
      </c>
      <c r="G1359" s="23" t="n">
        <v>6358.97</v>
      </c>
      <c r="H1359" s="22" t="n">
        <v>777474</v>
      </c>
      <c r="I1359" s="23" t="n">
        <v>4983.81</v>
      </c>
      <c r="J1359" s="18" t="n">
        <v>0.2759</v>
      </c>
      <c r="K1359" s="24" t="n">
        <v>0</v>
      </c>
      <c r="L1359" s="4" t="n">
        <v>8</v>
      </c>
      <c r="M1359" s="4" t="inlineStr">
        <is>
          <t>media</t>
        </is>
      </c>
      <c r="N1359" s="4" t="inlineStr">
        <is>
          <t>por encima de comparables</t>
        </is>
      </c>
      <c r="O1359" s="4" t="n"/>
    </row>
    <row r="1360">
      <c r="A1360" s="4" t="inlineStr">
        <is>
          <t>MD-0786</t>
        </is>
      </c>
      <c r="B1360" s="21" t="n">
        <v>46148</v>
      </c>
      <c r="C1360" s="4" t="inlineStr">
        <is>
          <t>Fuencarral-El Pardo</t>
        </is>
      </c>
      <c r="D1360" s="4" t="n">
        <v>68</v>
      </c>
      <c r="E1360" s="4" t="inlineStr">
        <is>
          <t>reformado</t>
        </is>
      </c>
      <c r="F1360" s="22" t="n">
        <v>545000</v>
      </c>
      <c r="G1360" s="23" t="n">
        <v>8014.71</v>
      </c>
      <c r="H1360" s="22" t="n">
        <v>421958</v>
      </c>
      <c r="I1360" s="23" t="n">
        <v>6205.27</v>
      </c>
      <c r="J1360" s="18" t="n">
        <v>0.2916</v>
      </c>
      <c r="K1360" s="24" t="n">
        <v>0</v>
      </c>
      <c r="L1360" s="4" t="n">
        <v>21</v>
      </c>
      <c r="M1360" s="4" t="inlineStr">
        <is>
          <t>alta</t>
        </is>
      </c>
      <c r="N1360" s="4" t="inlineStr">
        <is>
          <t>por encima de comparables</t>
        </is>
      </c>
      <c r="O1360" s="4" t="n"/>
    </row>
    <row r="1361">
      <c r="A1361" s="4" t="inlineStr">
        <is>
          <t>MD-0891</t>
        </is>
      </c>
      <c r="B1361" s="21" t="n">
        <v>46149</v>
      </c>
      <c r="C1361" s="4" t="inlineStr">
        <is>
          <t>Hortaleza</t>
        </is>
      </c>
      <c r="D1361" s="4" t="n">
        <v>77</v>
      </c>
      <c r="E1361" s="4" t="inlineStr">
        <is>
          <t>a reformar</t>
        </is>
      </c>
      <c r="F1361" s="22" t="n">
        <v>330000</v>
      </c>
      <c r="G1361" s="23" t="n">
        <v>4285.71</v>
      </c>
      <c r="H1361" s="22" t="n">
        <v>360215</v>
      </c>
      <c r="I1361" s="23" t="n">
        <v>4678.12</v>
      </c>
      <c r="J1361" s="18" t="n">
        <v>-0.0839</v>
      </c>
      <c r="K1361" s="24" t="n">
        <v>71</v>
      </c>
      <c r="L1361" s="4" t="n">
        <v>25</v>
      </c>
      <c r="M1361" s="4" t="inlineStr">
        <is>
          <t>media</t>
        </is>
      </c>
      <c r="N1361" s="4" t="inlineStr">
        <is>
          <t>en linea con comparables</t>
        </is>
      </c>
      <c r="O1361" s="4" t="n"/>
    </row>
    <row r="1362">
      <c r="A1362" s="4" t="inlineStr">
        <is>
          <t>MD-0291</t>
        </is>
      </c>
      <c r="B1362" s="21" t="n">
        <v>46149</v>
      </c>
      <c r="C1362" s="4" t="inlineStr">
        <is>
          <t>Latina</t>
        </is>
      </c>
      <c r="D1362" s="4" t="n">
        <v>41</v>
      </c>
      <c r="E1362" s="4" t="inlineStr">
        <is>
          <t>buen estado</t>
        </is>
      </c>
      <c r="F1362" s="22" t="n">
        <v>128000</v>
      </c>
      <c r="G1362" s="23" t="n">
        <v>3121.95</v>
      </c>
      <c r="H1362" s="22" t="n">
        <v>115271</v>
      </c>
      <c r="I1362" s="23" t="n">
        <v>2811.49</v>
      </c>
      <c r="J1362" s="18" t="n">
        <v>0.1104</v>
      </c>
      <c r="K1362" s="24" t="n">
        <v>22.4</v>
      </c>
      <c r="L1362" s="4" t="n">
        <v>19</v>
      </c>
      <c r="M1362" s="4" t="inlineStr">
        <is>
          <t>alta</t>
        </is>
      </c>
      <c r="N1362" s="4" t="inlineStr">
        <is>
          <t>por encima de comparables</t>
        </is>
      </c>
      <c r="O1362" s="4" t="n"/>
    </row>
    <row r="1363">
      <c r="A1363" s="4" t="inlineStr">
        <is>
          <t>MD-0232</t>
        </is>
      </c>
      <c r="B1363" s="21" t="n">
        <v>46149</v>
      </c>
      <c r="C1363" s="4" t="inlineStr">
        <is>
          <t>Usera</t>
        </is>
      </c>
      <c r="D1363" s="4" t="n">
        <v>56</v>
      </c>
      <c r="E1363" s="4" t="inlineStr">
        <is>
          <t>reformado</t>
        </is>
      </c>
      <c r="F1363" s="22" t="n">
        <v>159000</v>
      </c>
      <c r="G1363" s="23" t="n">
        <v>2839.29</v>
      </c>
      <c r="H1363" s="22" t="n">
        <v>169237</v>
      </c>
      <c r="I1363" s="23" t="n">
        <v>3022.1</v>
      </c>
      <c r="J1363" s="18" t="n">
        <v>-0.0605</v>
      </c>
      <c r="K1363" s="24" t="n">
        <v>65.09999999999999</v>
      </c>
      <c r="L1363" s="4" t="n">
        <v>9</v>
      </c>
      <c r="M1363" s="4" t="inlineStr">
        <is>
          <t>media</t>
        </is>
      </c>
      <c r="N1363" s="4" t="inlineStr">
        <is>
          <t>en linea con comparables</t>
        </is>
      </c>
      <c r="O1363" s="4" t="n"/>
    </row>
    <row r="1364">
      <c r="A1364" s="4" t="inlineStr">
        <is>
          <t>MD-1690</t>
        </is>
      </c>
      <c r="B1364" s="21" t="n">
        <v>46149</v>
      </c>
      <c r="C1364" s="4" t="inlineStr">
        <is>
          <t>Hortaleza</t>
        </is>
      </c>
      <c r="D1364" s="4" t="n">
        <v>168</v>
      </c>
      <c r="E1364" s="4" t="inlineStr">
        <is>
          <t>buen estado</t>
        </is>
      </c>
      <c r="F1364" s="22" t="n">
        <v>755000</v>
      </c>
      <c r="G1364" s="23" t="n">
        <v>4494.05</v>
      </c>
      <c r="H1364" s="22" t="n">
        <v>855292</v>
      </c>
      <c r="I1364" s="23" t="n">
        <v>5091.03</v>
      </c>
      <c r="J1364" s="18" t="n">
        <v>-0.1173</v>
      </c>
      <c r="K1364" s="24" t="n">
        <v>79.3</v>
      </c>
      <c r="L1364" s="4" t="n">
        <v>30</v>
      </c>
      <c r="M1364" s="4" t="inlineStr">
        <is>
          <t>alta</t>
        </is>
      </c>
      <c r="N1364" s="4" t="inlineStr">
        <is>
          <t>por debajo de comparables</t>
        </is>
      </c>
      <c r="O1364" s="4" t="n"/>
    </row>
    <row r="1365">
      <c r="A1365" s="4" t="inlineStr">
        <is>
          <t>MD-1870</t>
        </is>
      </c>
      <c r="B1365" s="21" t="n">
        <v>46149</v>
      </c>
      <c r="C1365" s="4" t="inlineStr">
        <is>
          <t>Arganzuela</t>
        </is>
      </c>
      <c r="D1365" s="4" t="n">
        <v>37</v>
      </c>
      <c r="E1365" s="4" t="inlineStr">
        <is>
          <t>buen estado</t>
        </is>
      </c>
      <c r="F1365" s="22" t="n">
        <v>191000</v>
      </c>
      <c r="G1365" s="23" t="n">
        <v>5162.16</v>
      </c>
      <c r="H1365" s="22" t="n"/>
      <c r="I1365" s="23" t="n"/>
      <c r="J1365" s="18" t="n"/>
      <c r="K1365" s="24" t="n"/>
      <c r="L1365" s="4" t="n">
        <v>2</v>
      </c>
      <c r="M1365" s="4" t="inlineStr">
        <is>
          <t>sin muestra</t>
        </is>
      </c>
      <c r="N1365" s="4" t="inlineStr">
        <is>
          <t>no valorable</t>
        </is>
      </c>
      <c r="O1365" s="4" t="inlineStr">
        <is>
          <t>segmento con pocas operaciones comparables</t>
        </is>
      </c>
    </row>
    <row r="1366">
      <c r="A1366" s="4" t="inlineStr">
        <is>
          <t>MD-1435</t>
        </is>
      </c>
      <c r="B1366" s="21" t="n">
        <v>46149</v>
      </c>
      <c r="C1366" s="4" t="inlineStr">
        <is>
          <t>Retiro</t>
        </is>
      </c>
      <c r="D1366" s="4" t="n">
        <v>74</v>
      </c>
      <c r="E1366" s="4" t="inlineStr">
        <is>
          <t>buen estado</t>
        </is>
      </c>
      <c r="F1366" s="22" t="n">
        <v>482000</v>
      </c>
      <c r="G1366" s="23" t="n">
        <v>6513.51</v>
      </c>
      <c r="H1366" s="22" t="n">
        <v>535546</v>
      </c>
      <c r="I1366" s="23" t="n">
        <v>7237.11</v>
      </c>
      <c r="J1366" s="18" t="n">
        <v>-0.1</v>
      </c>
      <c r="K1366" s="24" t="n">
        <v>75</v>
      </c>
      <c r="L1366" s="4" t="n">
        <v>16</v>
      </c>
      <c r="M1366" s="4" t="inlineStr">
        <is>
          <t>alta</t>
        </is>
      </c>
      <c r="N1366" s="4" t="inlineStr">
        <is>
          <t>en linea con comparables</t>
        </is>
      </c>
      <c r="O1366" s="4" t="n"/>
    </row>
    <row r="1367">
      <c r="A1367" s="4" t="inlineStr">
        <is>
          <t>MD-0905</t>
        </is>
      </c>
      <c r="B1367" s="21" t="n">
        <v>46150</v>
      </c>
      <c r="C1367" s="4" t="inlineStr">
        <is>
          <t>Centro</t>
        </is>
      </c>
      <c r="D1367" s="4" t="n">
        <v>63</v>
      </c>
      <c r="E1367" s="4" t="inlineStr">
        <is>
          <t>buen estado</t>
        </is>
      </c>
      <c r="F1367" s="22" t="n">
        <v>460000</v>
      </c>
      <c r="G1367" s="23" t="n">
        <v>7301.59</v>
      </c>
      <c r="H1367" s="22" t="n">
        <v>439992</v>
      </c>
      <c r="I1367" s="23" t="n">
        <v>6983.99</v>
      </c>
      <c r="J1367" s="18" t="n">
        <v>0.0455</v>
      </c>
      <c r="K1367" s="24" t="n">
        <v>38.6</v>
      </c>
      <c r="L1367" s="4" t="n">
        <v>25</v>
      </c>
      <c r="M1367" s="4" t="inlineStr">
        <is>
          <t>media</t>
        </is>
      </c>
      <c r="N1367" s="4" t="inlineStr">
        <is>
          <t>en linea con comparables</t>
        </is>
      </c>
      <c r="O1367" s="4" t="n"/>
    </row>
    <row r="1368">
      <c r="A1368" s="4" t="inlineStr">
        <is>
          <t>MD-0110</t>
        </is>
      </c>
      <c r="B1368" s="21" t="n">
        <v>46150</v>
      </c>
      <c r="C1368" s="4" t="inlineStr">
        <is>
          <t>Hortaleza</t>
        </is>
      </c>
      <c r="D1368" s="4" t="n">
        <v>139</v>
      </c>
      <c r="E1368" s="4" t="inlineStr">
        <is>
          <t>reformado</t>
        </is>
      </c>
      <c r="F1368" s="22" t="n">
        <v>664000</v>
      </c>
      <c r="G1368" s="23" t="n">
        <v>4776.98</v>
      </c>
      <c r="H1368" s="22" t="n">
        <v>832109</v>
      </c>
      <c r="I1368" s="23" t="n">
        <v>5986.4</v>
      </c>
      <c r="J1368" s="18" t="n">
        <v>-0.202</v>
      </c>
      <c r="K1368" s="24" t="n">
        <v>100</v>
      </c>
      <c r="L1368" s="4" t="n">
        <v>27</v>
      </c>
      <c r="M1368" s="4" t="inlineStr">
        <is>
          <t>alta</t>
        </is>
      </c>
      <c r="N1368" s="4" t="inlineStr">
        <is>
          <t>por debajo de comparables</t>
        </is>
      </c>
      <c r="O1368" s="4" t="n"/>
    </row>
    <row r="1369">
      <c r="A1369" s="4" t="inlineStr">
        <is>
          <t>MD-1774</t>
        </is>
      </c>
      <c r="B1369" s="21" t="n">
        <v>46150</v>
      </c>
      <c r="C1369" s="4" t="inlineStr">
        <is>
          <t>Hortaleza</t>
        </is>
      </c>
      <c r="D1369" s="4" t="n">
        <v>80</v>
      </c>
      <c r="E1369" s="4" t="inlineStr">
        <is>
          <t>obra nueva</t>
        </is>
      </c>
      <c r="F1369" s="22" t="n">
        <v>516000</v>
      </c>
      <c r="G1369" s="23" t="n">
        <v>6450</v>
      </c>
      <c r="H1369" s="22" t="n">
        <v>492029</v>
      </c>
      <c r="I1369" s="23" t="n">
        <v>6150.37</v>
      </c>
      <c r="J1369" s="18" t="n">
        <v>0.0487</v>
      </c>
      <c r="K1369" s="24" t="n">
        <v>37.8</v>
      </c>
      <c r="L1369" s="4" t="n">
        <v>27</v>
      </c>
      <c r="M1369" s="4" t="inlineStr">
        <is>
          <t>media</t>
        </is>
      </c>
      <c r="N1369" s="4" t="inlineStr">
        <is>
          <t>en linea con comparables</t>
        </is>
      </c>
      <c r="O1369" s="4" t="n"/>
    </row>
    <row r="1370">
      <c r="A1370" s="4" t="inlineStr">
        <is>
          <t>MD-1356</t>
        </is>
      </c>
      <c r="B1370" s="21" t="n">
        <v>46150</v>
      </c>
      <c r="C1370" s="4" t="inlineStr">
        <is>
          <t>Centro</t>
        </is>
      </c>
      <c r="D1370" s="4" t="n">
        <v>157</v>
      </c>
      <c r="E1370" s="4" t="inlineStr">
        <is>
          <t>buen estado</t>
        </is>
      </c>
      <c r="F1370" s="22" t="n">
        <v>1128000</v>
      </c>
      <c r="G1370" s="23" t="n">
        <v>7184.71</v>
      </c>
      <c r="H1370" s="22" t="n">
        <v>1139761</v>
      </c>
      <c r="I1370" s="23" t="n">
        <v>7259.62</v>
      </c>
      <c r="J1370" s="18" t="n">
        <v>-0.0103</v>
      </c>
      <c r="K1370" s="24" t="n">
        <v>52.6</v>
      </c>
      <c r="L1370" s="4" t="n">
        <v>10</v>
      </c>
      <c r="M1370" s="4" t="inlineStr">
        <is>
          <t>media</t>
        </is>
      </c>
      <c r="N1370" s="4" t="inlineStr">
        <is>
          <t>en linea con comparables</t>
        </is>
      </c>
      <c r="O1370" s="4" t="n"/>
    </row>
    <row r="1371">
      <c r="A1371" s="4" t="inlineStr">
        <is>
          <t>MD-1283</t>
        </is>
      </c>
      <c r="B1371" s="21" t="n">
        <v>46150</v>
      </c>
      <c r="C1371" s="4" t="inlineStr">
        <is>
          <t>Vicalvaro</t>
        </is>
      </c>
      <c r="D1371" s="4" t="n">
        <v>187</v>
      </c>
      <c r="E1371" s="4" t="inlineStr">
        <is>
          <t>a reformar</t>
        </is>
      </c>
      <c r="F1371" s="22" t="n">
        <v>505000</v>
      </c>
      <c r="G1371" s="23" t="n">
        <v>2700.53</v>
      </c>
      <c r="H1371" s="22" t="n">
        <v>530620</v>
      </c>
      <c r="I1371" s="23" t="n">
        <v>2837.54</v>
      </c>
      <c r="J1371" s="18" t="n">
        <v>-0.0483</v>
      </c>
      <c r="K1371" s="24" t="n">
        <v>62.1</v>
      </c>
      <c r="L1371" s="4" t="n">
        <v>15</v>
      </c>
      <c r="M1371" s="4" t="inlineStr">
        <is>
          <t>alta</t>
        </is>
      </c>
      <c r="N1371" s="4" t="inlineStr">
        <is>
          <t>en linea con comparables</t>
        </is>
      </c>
      <c r="O1371" s="4" t="n"/>
    </row>
    <row r="1372">
      <c r="A1372" s="4" t="inlineStr">
        <is>
          <t>MD-0832</t>
        </is>
      </c>
      <c r="B1372" s="21" t="n">
        <v>46150</v>
      </c>
      <c r="C1372" s="4" t="inlineStr">
        <is>
          <t>Hortaleza</t>
        </is>
      </c>
      <c r="D1372" s="4" t="n">
        <v>167</v>
      </c>
      <c r="E1372" s="4" t="inlineStr">
        <is>
          <t>obra nueva</t>
        </is>
      </c>
      <c r="F1372" s="22" t="n">
        <v>134000</v>
      </c>
      <c r="G1372" s="23" t="n">
        <v>802.4</v>
      </c>
      <c r="H1372" s="22" t="n">
        <v>1003346</v>
      </c>
      <c r="I1372" s="23" t="n">
        <v>6008.06</v>
      </c>
      <c r="J1372" s="18" t="n">
        <v>-0.8663999999999999</v>
      </c>
      <c r="K1372" s="24" t="n">
        <v>100</v>
      </c>
      <c r="L1372" s="4" t="n">
        <v>33</v>
      </c>
      <c r="M1372" s="4" t="inlineStr">
        <is>
          <t>alta</t>
        </is>
      </c>
      <c r="N1372" s="4" t="inlineStr">
        <is>
          <t>por debajo de comparables</t>
        </is>
      </c>
      <c r="O1372" s="4" t="n"/>
    </row>
    <row r="1373">
      <c r="A1373" s="4" t="inlineStr">
        <is>
          <t>MD-1076</t>
        </is>
      </c>
      <c r="B1373" s="21" t="n">
        <v>46150</v>
      </c>
      <c r="C1373" s="4" t="inlineStr">
        <is>
          <t>Hortaleza</t>
        </is>
      </c>
      <c r="D1373" s="4" t="n">
        <v>65</v>
      </c>
      <c r="E1373" s="4" t="inlineStr">
        <is>
          <t>buen estado</t>
        </is>
      </c>
      <c r="F1373" s="22" t="n">
        <v>345000</v>
      </c>
      <c r="G1373" s="23" t="n">
        <v>5307.69</v>
      </c>
      <c r="H1373" s="22" t="n">
        <v>363709</v>
      </c>
      <c r="I1373" s="23" t="n">
        <v>5595.53</v>
      </c>
      <c r="J1373" s="18" t="n">
        <v>-0.0514</v>
      </c>
      <c r="K1373" s="24" t="n">
        <v>62.9</v>
      </c>
      <c r="L1373" s="4" t="n">
        <v>22</v>
      </c>
      <c r="M1373" s="4" t="inlineStr">
        <is>
          <t>alta</t>
        </is>
      </c>
      <c r="N1373" s="4" t="inlineStr">
        <is>
          <t>en linea con comparables</t>
        </is>
      </c>
      <c r="O1373" s="4" t="n"/>
    </row>
    <row r="1374">
      <c r="A1374" s="4" t="inlineStr">
        <is>
          <t>MD-0218</t>
        </is>
      </c>
      <c r="B1374" s="21" t="n">
        <v>46150</v>
      </c>
      <c r="C1374" s="4" t="inlineStr">
        <is>
          <t>Barajas</t>
        </is>
      </c>
      <c r="D1374" s="4" t="n">
        <v>68</v>
      </c>
      <c r="E1374" s="4" t="inlineStr">
        <is>
          <t>buen estado</t>
        </is>
      </c>
      <c r="F1374" s="22" t="n">
        <v>335000</v>
      </c>
      <c r="G1374" s="23" t="n">
        <v>4926.47</v>
      </c>
      <c r="H1374" s="22" t="n">
        <v>312691</v>
      </c>
      <c r="I1374" s="23" t="n">
        <v>4598.4</v>
      </c>
      <c r="J1374" s="18" t="n">
        <v>0.0713</v>
      </c>
      <c r="K1374" s="24" t="n">
        <v>32.2</v>
      </c>
      <c r="L1374" s="4" t="n">
        <v>10</v>
      </c>
      <c r="M1374" s="4" t="inlineStr">
        <is>
          <t>media</t>
        </is>
      </c>
      <c r="N1374" s="4" t="inlineStr">
        <is>
          <t>en linea con comparables</t>
        </is>
      </c>
      <c r="O1374" s="4" t="n"/>
    </row>
    <row r="1375">
      <c r="A1375" s="4" t="inlineStr">
        <is>
          <t>MD-1297</t>
        </is>
      </c>
      <c r="B1375" s="21" t="n">
        <v>46151</v>
      </c>
      <c r="C1375" s="4" t="inlineStr">
        <is>
          <t>Fuencarral-El Pardo</t>
        </is>
      </c>
      <c r="D1375" s="4" t="n">
        <v>181</v>
      </c>
      <c r="E1375" s="4" t="inlineStr">
        <is>
          <t>buen estado</t>
        </is>
      </c>
      <c r="F1375" s="22" t="n">
        <v>971000</v>
      </c>
      <c r="G1375" s="23" t="n">
        <v>5364.64</v>
      </c>
      <c r="H1375" s="22" t="n">
        <v>915548</v>
      </c>
      <c r="I1375" s="23" t="n">
        <v>5058.27</v>
      </c>
      <c r="J1375" s="18" t="n">
        <v>0.0606</v>
      </c>
      <c r="K1375" s="24" t="n">
        <v>34.9</v>
      </c>
      <c r="L1375" s="4" t="n">
        <v>14</v>
      </c>
      <c r="M1375" s="4" t="inlineStr">
        <is>
          <t>media</t>
        </is>
      </c>
      <c r="N1375" s="4" t="inlineStr">
        <is>
          <t>en linea con comparables</t>
        </is>
      </c>
      <c r="O1375" s="4" t="n"/>
    </row>
    <row r="1376">
      <c r="A1376" s="4" t="inlineStr">
        <is>
          <t>MD-1556</t>
        </is>
      </c>
      <c r="B1376" s="21" t="n">
        <v>46151</v>
      </c>
      <c r="C1376" s="4" t="inlineStr">
        <is>
          <t>Chamberi</t>
        </is>
      </c>
      <c r="D1376" s="4" t="n">
        <v>101</v>
      </c>
      <c r="E1376" s="4" t="inlineStr">
        <is>
          <t>a reformar</t>
        </is>
      </c>
      <c r="F1376" s="22" t="n">
        <v>538000</v>
      </c>
      <c r="G1376" s="23" t="n">
        <v>5326.73</v>
      </c>
      <c r="H1376" s="22" t="n">
        <v>666891</v>
      </c>
      <c r="I1376" s="23" t="n">
        <v>6602.89</v>
      </c>
      <c r="J1376" s="18" t="n">
        <v>-0.1933</v>
      </c>
      <c r="K1376" s="24" t="n">
        <v>98.3</v>
      </c>
      <c r="L1376" s="4" t="n">
        <v>9</v>
      </c>
      <c r="M1376" s="4" t="inlineStr">
        <is>
          <t>media</t>
        </is>
      </c>
      <c r="N1376" s="4" t="inlineStr">
        <is>
          <t>por debajo de comparables</t>
        </is>
      </c>
      <c r="O1376" s="4" t="n"/>
    </row>
    <row r="1377">
      <c r="A1377" s="4" t="inlineStr">
        <is>
          <t>MD-0039</t>
        </is>
      </c>
      <c r="B1377" s="21" t="n">
        <v>46151</v>
      </c>
      <c r="C1377" s="4" t="inlineStr">
        <is>
          <t>Fuencarral-El Pardo</t>
        </is>
      </c>
      <c r="D1377" s="4" t="n">
        <v>49</v>
      </c>
      <c r="E1377" s="4" t="inlineStr">
        <is>
          <t>a reformar</t>
        </is>
      </c>
      <c r="F1377" s="22" t="n">
        <v>181000</v>
      </c>
      <c r="G1377" s="23" t="n">
        <v>3693.88</v>
      </c>
      <c r="H1377" s="22" t="n">
        <v>210292</v>
      </c>
      <c r="I1377" s="23" t="n">
        <v>4291.67</v>
      </c>
      <c r="J1377" s="18" t="n">
        <v>-0.1393</v>
      </c>
      <c r="K1377" s="24" t="n">
        <v>84.8</v>
      </c>
      <c r="L1377" s="4" t="n">
        <v>17</v>
      </c>
      <c r="M1377" s="4" t="inlineStr">
        <is>
          <t>alta</t>
        </is>
      </c>
      <c r="N1377" s="4" t="inlineStr">
        <is>
          <t>por debajo de comparables</t>
        </is>
      </c>
      <c r="O1377" s="4" t="n"/>
    </row>
    <row r="1378">
      <c r="A1378" s="4" t="inlineStr">
        <is>
          <t>MD-1681</t>
        </is>
      </c>
      <c r="B1378" s="21" t="n">
        <v>46151</v>
      </c>
      <c r="C1378" s="4" t="inlineStr">
        <is>
          <t>Carabanchel</t>
        </is>
      </c>
      <c r="D1378" s="4" t="n">
        <v>88</v>
      </c>
      <c r="E1378" s="4" t="inlineStr">
        <is>
          <t>buen estado</t>
        </is>
      </c>
      <c r="F1378" s="22" t="n">
        <v>359000</v>
      </c>
      <c r="G1378" s="23" t="n">
        <v>4079.55</v>
      </c>
      <c r="H1378" s="22" t="n">
        <v>295263</v>
      </c>
      <c r="I1378" s="23" t="n">
        <v>3355.26</v>
      </c>
      <c r="J1378" s="18" t="n">
        <v>0.2159</v>
      </c>
      <c r="K1378" s="24" t="n">
        <v>0</v>
      </c>
      <c r="L1378" s="4" t="n">
        <v>31</v>
      </c>
      <c r="M1378" s="4" t="inlineStr">
        <is>
          <t>alta</t>
        </is>
      </c>
      <c r="N1378" s="4" t="inlineStr">
        <is>
          <t>por encima de comparables</t>
        </is>
      </c>
      <c r="O1378" s="4" t="n"/>
    </row>
    <row r="1379">
      <c r="A1379" s="4" t="inlineStr">
        <is>
          <t>MD-1418</t>
        </is>
      </c>
      <c r="B1379" s="21" t="n">
        <v>46151</v>
      </c>
      <c r="C1379" s="4" t="inlineStr">
        <is>
          <t>Fuencarral-El Pardo</t>
        </is>
      </c>
      <c r="D1379" s="4" t="n">
        <v>151</v>
      </c>
      <c r="E1379" s="4" t="inlineStr">
        <is>
          <t>reformado</t>
        </is>
      </c>
      <c r="F1379" s="22" t="n">
        <v>919000</v>
      </c>
      <c r="G1379" s="23" t="n">
        <v>6086.09</v>
      </c>
      <c r="H1379" s="22" t="n">
        <v>808911</v>
      </c>
      <c r="I1379" s="23" t="n">
        <v>5357.02</v>
      </c>
      <c r="J1379" s="18" t="n">
        <v>0.1361</v>
      </c>
      <c r="K1379" s="24" t="n">
        <v>16</v>
      </c>
      <c r="L1379" s="4" t="n">
        <v>20</v>
      </c>
      <c r="M1379" s="4" t="inlineStr">
        <is>
          <t>media</t>
        </is>
      </c>
      <c r="N1379" s="4" t="inlineStr">
        <is>
          <t>por encima de comparables</t>
        </is>
      </c>
      <c r="O1379" s="4" t="n"/>
    </row>
    <row r="1380">
      <c r="A1380" s="4" t="inlineStr">
        <is>
          <t>MD-1118</t>
        </is>
      </c>
      <c r="B1380" s="21" t="n">
        <v>46151</v>
      </c>
      <c r="C1380" s="4" t="inlineStr">
        <is>
          <t>Villa de Vallecas</t>
        </is>
      </c>
      <c r="D1380" s="4" t="n">
        <v>58</v>
      </c>
      <c r="E1380" s="4" t="inlineStr">
        <is>
          <t>buen estado</t>
        </is>
      </c>
      <c r="F1380" s="22" t="n">
        <v>243000</v>
      </c>
      <c r="G1380" s="23" t="n">
        <v>4189.66</v>
      </c>
      <c r="H1380" s="22" t="n">
        <v>222945</v>
      </c>
      <c r="I1380" s="23" t="n">
        <v>3843.88</v>
      </c>
      <c r="J1380" s="18" t="n">
        <v>0.09</v>
      </c>
      <c r="K1380" s="24" t="n">
        <v>27.5</v>
      </c>
      <c r="L1380" s="4" t="n">
        <v>14</v>
      </c>
      <c r="M1380" s="4" t="inlineStr">
        <is>
          <t>media</t>
        </is>
      </c>
      <c r="N1380" s="4" t="inlineStr">
        <is>
          <t>en linea con comparables</t>
        </is>
      </c>
      <c r="O1380" s="4" t="n"/>
    </row>
    <row r="1381">
      <c r="A1381" s="4" t="inlineStr">
        <is>
          <t>MD-0763</t>
        </is>
      </c>
      <c r="B1381" s="21" t="n">
        <v>46152</v>
      </c>
      <c r="C1381" s="4" t="inlineStr">
        <is>
          <t>Hortaleza</t>
        </is>
      </c>
      <c r="D1381" s="4" t="n">
        <v>82</v>
      </c>
      <c r="E1381" s="4" t="inlineStr">
        <is>
          <t>buen estado</t>
        </is>
      </c>
      <c r="F1381" s="22" t="n">
        <v>552000</v>
      </c>
      <c r="G1381" s="23" t="n">
        <v>6731.71</v>
      </c>
      <c r="H1381" s="22" t="n">
        <v>429628</v>
      </c>
      <c r="I1381" s="23" t="n">
        <v>5239.37</v>
      </c>
      <c r="J1381" s="18" t="n">
        <v>0.2848</v>
      </c>
      <c r="K1381" s="24" t="n">
        <v>0</v>
      </c>
      <c r="L1381" s="4" t="n">
        <v>28</v>
      </c>
      <c r="M1381" s="4" t="inlineStr">
        <is>
          <t>alta</t>
        </is>
      </c>
      <c r="N1381" s="4" t="inlineStr">
        <is>
          <t>por encima de comparables</t>
        </is>
      </c>
      <c r="O1381" s="4" t="n"/>
    </row>
    <row r="1382">
      <c r="A1382" s="4" t="inlineStr">
        <is>
          <t>MD-1841</t>
        </is>
      </c>
      <c r="B1382" s="21" t="n">
        <v>46152</v>
      </c>
      <c r="C1382" s="4" t="inlineStr">
        <is>
          <t>Ciudad Lineal</t>
        </is>
      </c>
      <c r="D1382" s="4" t="n">
        <v>94</v>
      </c>
      <c r="E1382" s="4" t="inlineStr">
        <is>
          <t>buen estado</t>
        </is>
      </c>
      <c r="F1382" s="22" t="n">
        <v>464000</v>
      </c>
      <c r="G1382" s="23" t="n">
        <v>4936.17</v>
      </c>
      <c r="H1382" s="22" t="n">
        <v>440872</v>
      </c>
      <c r="I1382" s="23" t="n">
        <v>4690.13</v>
      </c>
      <c r="J1382" s="18" t="n">
        <v>0.0525</v>
      </c>
      <c r="K1382" s="24" t="n">
        <v>36.9</v>
      </c>
      <c r="L1382" s="4" t="n">
        <v>22</v>
      </c>
      <c r="M1382" s="4" t="inlineStr">
        <is>
          <t>alta</t>
        </is>
      </c>
      <c r="N1382" s="4" t="inlineStr">
        <is>
          <t>en linea con comparables</t>
        </is>
      </c>
      <c r="O1382" s="4" t="n"/>
    </row>
    <row r="1383">
      <c r="A1383" s="4" t="inlineStr">
        <is>
          <t>MD-0559</t>
        </is>
      </c>
      <c r="B1383" s="21" t="n">
        <v>46152</v>
      </c>
      <c r="C1383" s="4" t="inlineStr">
        <is>
          <t>Hortaleza</t>
        </is>
      </c>
      <c r="D1383" s="4" t="n">
        <v>111</v>
      </c>
      <c r="E1383" s="4" t="inlineStr">
        <is>
          <t>reformado</t>
        </is>
      </c>
      <c r="F1383" s="22" t="n">
        <v>543000</v>
      </c>
      <c r="G1383" s="23" t="n">
        <v>4891.89</v>
      </c>
      <c r="H1383" s="22" t="n">
        <v>526252</v>
      </c>
      <c r="I1383" s="23" t="n">
        <v>4741.01</v>
      </c>
      <c r="J1383" s="18" t="n">
        <v>0.0318</v>
      </c>
      <c r="K1383" s="24" t="n">
        <v>42</v>
      </c>
      <c r="L1383" s="4" t="n">
        <v>26</v>
      </c>
      <c r="M1383" s="4" t="inlineStr">
        <is>
          <t>alta</t>
        </is>
      </c>
      <c r="N1383" s="4" t="inlineStr">
        <is>
          <t>en linea con comparables</t>
        </is>
      </c>
      <c r="O1383" s="4" t="n"/>
    </row>
    <row r="1384">
      <c r="A1384" s="4" t="inlineStr">
        <is>
          <t>MD-0573</t>
        </is>
      </c>
      <c r="B1384" s="21" t="n">
        <v>46152</v>
      </c>
      <c r="C1384" s="4" t="inlineStr">
        <is>
          <t>Chamartin</t>
        </is>
      </c>
      <c r="D1384" s="4" t="n">
        <v>78</v>
      </c>
      <c r="E1384" s="4" t="inlineStr">
        <is>
          <t>reformado</t>
        </is>
      </c>
      <c r="F1384" s="22" t="n">
        <v>666000</v>
      </c>
      <c r="G1384" s="23" t="n">
        <v>8538.459999999999</v>
      </c>
      <c r="H1384" s="22" t="n">
        <v>695694</v>
      </c>
      <c r="I1384" s="23" t="n">
        <v>8919.15</v>
      </c>
      <c r="J1384" s="18" t="n">
        <v>-0.0427</v>
      </c>
      <c r="K1384" s="24" t="n">
        <v>60.7</v>
      </c>
      <c r="L1384" s="4" t="n">
        <v>23</v>
      </c>
      <c r="M1384" s="4" t="inlineStr">
        <is>
          <t>alta</t>
        </is>
      </c>
      <c r="N1384" s="4" t="inlineStr">
        <is>
          <t>en linea con comparables</t>
        </is>
      </c>
      <c r="O1384" s="4" t="n"/>
    </row>
    <row r="1385">
      <c r="A1385" s="4" t="inlineStr">
        <is>
          <t>MD-1507</t>
        </is>
      </c>
      <c r="B1385" s="21" t="n">
        <v>46152</v>
      </c>
      <c r="C1385" s="4" t="inlineStr">
        <is>
          <t>San Blas-Canillejas</t>
        </is>
      </c>
      <c r="D1385" s="4" t="n">
        <v>47</v>
      </c>
      <c r="E1385" s="4" t="inlineStr">
        <is>
          <t>buen estado</t>
        </is>
      </c>
      <c r="F1385" s="22" t="n">
        <v>148000</v>
      </c>
      <c r="G1385" s="23" t="n">
        <v>3148.94</v>
      </c>
      <c r="H1385" s="22" t="n">
        <v>167155</v>
      </c>
      <c r="I1385" s="23" t="n">
        <v>3556.5</v>
      </c>
      <c r="J1385" s="18" t="n">
        <v>-0.1146</v>
      </c>
      <c r="K1385" s="24" t="n">
        <v>78.59999999999999</v>
      </c>
      <c r="L1385" s="4" t="n">
        <v>20</v>
      </c>
      <c r="M1385" s="4" t="inlineStr">
        <is>
          <t>alta</t>
        </is>
      </c>
      <c r="N1385" s="4" t="inlineStr">
        <is>
          <t>por debajo de comparables</t>
        </is>
      </c>
      <c r="O1385" s="4" t="n"/>
    </row>
    <row r="1386">
      <c r="A1386" s="4" t="inlineStr">
        <is>
          <t>MD-1715</t>
        </is>
      </c>
      <c r="B1386" s="21" t="n">
        <v>46152</v>
      </c>
      <c r="C1386" s="4" t="inlineStr">
        <is>
          <t>Ciudad Lineal</t>
        </is>
      </c>
      <c r="D1386" s="4" t="n">
        <v>56</v>
      </c>
      <c r="E1386" s="4" t="inlineStr">
        <is>
          <t>buen estado</t>
        </is>
      </c>
      <c r="F1386" s="22" t="n">
        <v>253000</v>
      </c>
      <c r="G1386" s="23" t="n">
        <v>4517.86</v>
      </c>
      <c r="H1386" s="22" t="n">
        <v>244733</v>
      </c>
      <c r="I1386" s="23" t="n">
        <v>4370.22</v>
      </c>
      <c r="J1386" s="18" t="n">
        <v>0.0338</v>
      </c>
      <c r="K1386" s="24" t="n">
        <v>41.6</v>
      </c>
      <c r="L1386" s="4" t="n">
        <v>36</v>
      </c>
      <c r="M1386" s="4" t="inlineStr">
        <is>
          <t>media</t>
        </is>
      </c>
      <c r="N1386" s="4" t="inlineStr">
        <is>
          <t>en linea con comparables</t>
        </is>
      </c>
      <c r="O1386" s="4" t="n"/>
    </row>
    <row r="1387">
      <c r="A1387" s="4" t="inlineStr">
        <is>
          <t>MD-0995</t>
        </is>
      </c>
      <c r="B1387" s="21" t="n">
        <v>46153</v>
      </c>
      <c r="C1387" s="4" t="inlineStr">
        <is>
          <t>Latina</t>
        </is>
      </c>
      <c r="D1387" s="4" t="n">
        <v>73</v>
      </c>
      <c r="E1387" s="4" t="inlineStr">
        <is>
          <t>buen estado</t>
        </is>
      </c>
      <c r="F1387" s="22" t="n">
        <v>230000</v>
      </c>
      <c r="G1387" s="23" t="n">
        <v>3150.68</v>
      </c>
      <c r="H1387" s="22" t="n">
        <v>209395</v>
      </c>
      <c r="I1387" s="23" t="n">
        <v>2868.43</v>
      </c>
      <c r="J1387" s="18" t="n">
        <v>0.0984</v>
      </c>
      <c r="K1387" s="24" t="n">
        <v>25.4</v>
      </c>
      <c r="L1387" s="4" t="n">
        <v>47</v>
      </c>
      <c r="M1387" s="4" t="inlineStr">
        <is>
          <t>media</t>
        </is>
      </c>
      <c r="N1387" s="4" t="inlineStr">
        <is>
          <t>en linea con comparables</t>
        </is>
      </c>
      <c r="O1387" s="4" t="n"/>
    </row>
    <row r="1388">
      <c r="A1388" s="4" t="inlineStr">
        <is>
          <t>MD-1466</t>
        </is>
      </c>
      <c r="B1388" s="21" t="n">
        <v>46153</v>
      </c>
      <c r="C1388" s="4" t="inlineStr">
        <is>
          <t>Chamartin</t>
        </is>
      </c>
      <c r="D1388" s="4" t="n">
        <v>60</v>
      </c>
      <c r="E1388" s="4" t="inlineStr">
        <is>
          <t>buen estado</t>
        </is>
      </c>
      <c r="F1388" s="22" t="n">
        <v>518000</v>
      </c>
      <c r="G1388" s="23" t="n">
        <v>8633.33</v>
      </c>
      <c r="H1388" s="22" t="n">
        <v>488421</v>
      </c>
      <c r="I1388" s="23" t="n">
        <v>8140.35</v>
      </c>
      <c r="J1388" s="18" t="n">
        <v>0.0606</v>
      </c>
      <c r="K1388" s="24" t="n">
        <v>34.9</v>
      </c>
      <c r="L1388" s="4" t="n">
        <v>17</v>
      </c>
      <c r="M1388" s="4" t="inlineStr">
        <is>
          <t>alta</t>
        </is>
      </c>
      <c r="N1388" s="4" t="inlineStr">
        <is>
          <t>en linea con comparables</t>
        </is>
      </c>
      <c r="O1388" s="4" t="n"/>
    </row>
    <row r="1389">
      <c r="A1389" s="4" t="inlineStr">
        <is>
          <t>MD-1797</t>
        </is>
      </c>
      <c r="B1389" s="21" t="n">
        <v>46153</v>
      </c>
      <c r="C1389" s="4" t="inlineStr">
        <is>
          <t>Chamberi</t>
        </is>
      </c>
      <c r="D1389" s="4" t="n">
        <v>49</v>
      </c>
      <c r="E1389" s="4" t="inlineStr">
        <is>
          <t>reformado</t>
        </is>
      </c>
      <c r="F1389" s="22" t="n">
        <v>464000</v>
      </c>
      <c r="G1389" s="23" t="n">
        <v>9469.389999999999</v>
      </c>
      <c r="H1389" s="22" t="n">
        <v>468461</v>
      </c>
      <c r="I1389" s="23" t="n">
        <v>9560.43</v>
      </c>
      <c r="J1389" s="18" t="n">
        <v>-0.0095</v>
      </c>
      <c r="K1389" s="24" t="n">
        <v>52.4</v>
      </c>
      <c r="L1389" s="4" t="n">
        <v>11</v>
      </c>
      <c r="M1389" s="4" t="inlineStr">
        <is>
          <t>media</t>
        </is>
      </c>
      <c r="N1389" s="4" t="inlineStr">
        <is>
          <t>en linea con comparables</t>
        </is>
      </c>
      <c r="O1389" s="4" t="n"/>
    </row>
    <row r="1390">
      <c r="A1390" s="4" t="inlineStr">
        <is>
          <t>MD-0196</t>
        </is>
      </c>
      <c r="B1390" s="21" t="n">
        <v>46153</v>
      </c>
      <c r="C1390" s="4" t="inlineStr">
        <is>
          <t>Latina</t>
        </is>
      </c>
      <c r="D1390" s="4" t="n">
        <v>165</v>
      </c>
      <c r="E1390" s="4" t="inlineStr">
        <is>
          <t>a reformar</t>
        </is>
      </c>
      <c r="F1390" s="22" t="n">
        <v>392000</v>
      </c>
      <c r="G1390" s="23" t="n">
        <v>2375.76</v>
      </c>
      <c r="H1390" s="22" t="n"/>
      <c r="I1390" s="23" t="n"/>
      <c r="J1390" s="18" t="n"/>
      <c r="K1390" s="24" t="n"/>
      <c r="L1390" s="4" t="n">
        <v>1</v>
      </c>
      <c r="M1390" s="4" t="inlineStr">
        <is>
          <t>sin muestra</t>
        </is>
      </c>
      <c r="N1390" s="4" t="inlineStr">
        <is>
          <t>no valorable</t>
        </is>
      </c>
      <c r="O1390" s="4" t="inlineStr">
        <is>
          <t>segmento con pocas operaciones comparables</t>
        </is>
      </c>
    </row>
    <row r="1391">
      <c r="A1391" s="4" t="inlineStr">
        <is>
          <t>MD-1437</t>
        </is>
      </c>
      <c r="B1391" s="21" t="n">
        <v>46153</v>
      </c>
      <c r="C1391" s="4" t="inlineStr">
        <is>
          <t>Tetuan</t>
        </is>
      </c>
      <c r="D1391" s="4" t="n">
        <v>48</v>
      </c>
      <c r="E1391" s="4" t="inlineStr">
        <is>
          <t>buen estado</t>
        </is>
      </c>
      <c r="F1391" s="22" t="n">
        <v>304000</v>
      </c>
      <c r="G1391" s="23" t="n">
        <v>6333.33</v>
      </c>
      <c r="H1391" s="22" t="n">
        <v>208589</v>
      </c>
      <c r="I1391" s="23" t="n">
        <v>4345.6</v>
      </c>
      <c r="J1391" s="18" t="n">
        <v>0.4574</v>
      </c>
      <c r="K1391" s="24" t="n">
        <v>0</v>
      </c>
      <c r="L1391" s="4" t="n">
        <v>14</v>
      </c>
      <c r="M1391" s="4" t="inlineStr">
        <is>
          <t>media</t>
        </is>
      </c>
      <c r="N1391" s="4" t="inlineStr">
        <is>
          <t>por encima de comparables</t>
        </is>
      </c>
      <c r="O1391" s="4" t="n"/>
    </row>
    <row r="1392">
      <c r="A1392" s="4" t="inlineStr">
        <is>
          <t>MD-1617</t>
        </is>
      </c>
      <c r="B1392" s="21" t="n">
        <v>46153</v>
      </c>
      <c r="C1392" s="4" t="inlineStr">
        <is>
          <t>Tetuan</t>
        </is>
      </c>
      <c r="D1392" s="4" t="n">
        <v>178</v>
      </c>
      <c r="E1392" s="4" t="inlineStr">
        <is>
          <t>a reformar</t>
        </is>
      </c>
      <c r="F1392" s="22" t="n">
        <v>764000</v>
      </c>
      <c r="G1392" s="23" t="n">
        <v>4292.13</v>
      </c>
      <c r="H1392" s="22" t="n">
        <v>711058</v>
      </c>
      <c r="I1392" s="23" t="n">
        <v>3994.71</v>
      </c>
      <c r="J1392" s="18" t="n">
        <v>0.0745</v>
      </c>
      <c r="K1392" s="24" t="n">
        <v>31.4</v>
      </c>
      <c r="L1392" s="4" t="n">
        <v>8</v>
      </c>
      <c r="M1392" s="4" t="inlineStr">
        <is>
          <t>media</t>
        </is>
      </c>
      <c r="N1392" s="4" t="inlineStr">
        <is>
          <t>en linea con comparables</t>
        </is>
      </c>
      <c r="O1392" s="4" t="n"/>
    </row>
    <row r="1393">
      <c r="A1393" s="4" t="inlineStr">
        <is>
          <t>MD-1155</t>
        </is>
      </c>
      <c r="B1393" s="21" t="n">
        <v>46153</v>
      </c>
      <c r="C1393" s="4" t="inlineStr">
        <is>
          <t>Chamartin</t>
        </is>
      </c>
      <c r="D1393" s="4" t="n">
        <v>29</v>
      </c>
      <c r="E1393" s="4" t="inlineStr">
        <is>
          <t>a reformar</t>
        </is>
      </c>
      <c r="F1393" s="22" t="n">
        <v>166000</v>
      </c>
      <c r="G1393" s="23" t="n">
        <v>5724.14</v>
      </c>
      <c r="H1393" s="22" t="n">
        <v>196398</v>
      </c>
      <c r="I1393" s="23" t="n">
        <v>6772.36</v>
      </c>
      <c r="J1393" s="18" t="n">
        <v>-0.1548</v>
      </c>
      <c r="K1393" s="24" t="n">
        <v>88.7</v>
      </c>
      <c r="L1393" s="4" t="n">
        <v>6</v>
      </c>
      <c r="M1393" s="4" t="inlineStr">
        <is>
          <t>baja</t>
        </is>
      </c>
      <c r="N1393" s="4" t="inlineStr">
        <is>
          <t>por debajo de comparables</t>
        </is>
      </c>
      <c r="O1393" s="4" t="n"/>
    </row>
    <row r="1394">
      <c r="A1394" s="4" t="inlineStr">
        <is>
          <t>MD-0945</t>
        </is>
      </c>
      <c r="B1394" s="21" t="n">
        <v>46154</v>
      </c>
      <c r="C1394" s="4" t="inlineStr">
        <is>
          <t>Ciudad Lineal</t>
        </is>
      </c>
      <c r="D1394" s="4" t="n">
        <v>94</v>
      </c>
      <c r="E1394" s="4" t="inlineStr">
        <is>
          <t>buen estado</t>
        </is>
      </c>
      <c r="F1394" s="22" t="n">
        <v>454000</v>
      </c>
      <c r="G1394" s="23" t="n">
        <v>4829.79</v>
      </c>
      <c r="H1394" s="22" t="n">
        <v>391842</v>
      </c>
      <c r="I1394" s="23" t="n">
        <v>4168.54</v>
      </c>
      <c r="J1394" s="18" t="n">
        <v>0.1586</v>
      </c>
      <c r="K1394" s="24" t="n">
        <v>10.3</v>
      </c>
      <c r="L1394" s="4" t="n">
        <v>23</v>
      </c>
      <c r="M1394" s="4" t="inlineStr">
        <is>
          <t>alta</t>
        </is>
      </c>
      <c r="N1394" s="4" t="inlineStr">
        <is>
          <t>por encima de comparables</t>
        </is>
      </c>
      <c r="O1394" s="4" t="n"/>
    </row>
    <row r="1395">
      <c r="A1395" s="4" t="inlineStr">
        <is>
          <t>MD-0635</t>
        </is>
      </c>
      <c r="B1395" s="21" t="n">
        <v>46154</v>
      </c>
      <c r="C1395" s="4" t="inlineStr">
        <is>
          <t>San Blas-Canillejas</t>
        </is>
      </c>
      <c r="D1395" s="4" t="n">
        <v>64</v>
      </c>
      <c r="E1395" s="4" t="inlineStr">
        <is>
          <t>a reformar</t>
        </is>
      </c>
      <c r="F1395" s="22" t="n">
        <v>181000</v>
      </c>
      <c r="G1395" s="23" t="n">
        <v>2828.12</v>
      </c>
      <c r="H1395" s="22" t="n">
        <v>206429</v>
      </c>
      <c r="I1395" s="23" t="n">
        <v>3225.45</v>
      </c>
      <c r="J1395" s="18" t="n">
        <v>-0.1232</v>
      </c>
      <c r="K1395" s="24" t="n">
        <v>80.8</v>
      </c>
      <c r="L1395" s="4" t="n">
        <v>20</v>
      </c>
      <c r="M1395" s="4" t="inlineStr">
        <is>
          <t>alta</t>
        </is>
      </c>
      <c r="N1395" s="4" t="inlineStr">
        <is>
          <t>por debajo de comparables</t>
        </is>
      </c>
      <c r="O1395" s="4" t="n"/>
    </row>
    <row r="1396">
      <c r="A1396" s="4" t="inlineStr">
        <is>
          <t>MD-0507</t>
        </is>
      </c>
      <c r="B1396" s="21" t="n">
        <v>46154</v>
      </c>
      <c r="C1396" s="4" t="inlineStr">
        <is>
          <t>Chamartin</t>
        </is>
      </c>
      <c r="D1396" s="4" t="n">
        <v>115</v>
      </c>
      <c r="E1396" s="4" t="inlineStr">
        <is>
          <t>reformado</t>
        </is>
      </c>
      <c r="F1396" s="22" t="n">
        <v>841000</v>
      </c>
      <c r="G1396" s="23" t="n">
        <v>7313.04</v>
      </c>
      <c r="H1396" s="22" t="n">
        <v>801820</v>
      </c>
      <c r="I1396" s="23" t="n">
        <v>6972.35</v>
      </c>
      <c r="J1396" s="18" t="n">
        <v>0.0489</v>
      </c>
      <c r="K1396" s="24" t="n">
        <v>37.8</v>
      </c>
      <c r="L1396" s="4" t="n">
        <v>20</v>
      </c>
      <c r="M1396" s="4" t="inlineStr">
        <is>
          <t>alta</t>
        </is>
      </c>
      <c r="N1396" s="4" t="inlineStr">
        <is>
          <t>en linea con comparables</t>
        </is>
      </c>
      <c r="O1396" s="4" t="n"/>
    </row>
    <row r="1397">
      <c r="A1397" s="4" t="inlineStr">
        <is>
          <t>MD-1266</t>
        </is>
      </c>
      <c r="B1397" s="21" t="n">
        <v>46154</v>
      </c>
      <c r="C1397" s="4" t="inlineStr">
        <is>
          <t>Tetuan</t>
        </is>
      </c>
      <c r="D1397" s="4" t="n">
        <v>59</v>
      </c>
      <c r="E1397" s="4" t="inlineStr">
        <is>
          <t>buen estado</t>
        </is>
      </c>
      <c r="F1397" s="22" t="n">
        <v>407000</v>
      </c>
      <c r="G1397" s="23" t="n">
        <v>6898.31</v>
      </c>
      <c r="H1397" s="22" t="n">
        <v>310212</v>
      </c>
      <c r="I1397" s="23" t="n">
        <v>5257.82</v>
      </c>
      <c r="J1397" s="18" t="n">
        <v>0.312</v>
      </c>
      <c r="K1397" s="24" t="n">
        <v>0</v>
      </c>
      <c r="L1397" s="4" t="n">
        <v>20</v>
      </c>
      <c r="M1397" s="4" t="inlineStr">
        <is>
          <t>alta</t>
        </is>
      </c>
      <c r="N1397" s="4" t="inlineStr">
        <is>
          <t>por encima de comparables</t>
        </is>
      </c>
      <c r="O1397" s="4" t="n"/>
    </row>
    <row r="1398">
      <c r="A1398" s="4" t="inlineStr">
        <is>
          <t>MD-0613</t>
        </is>
      </c>
      <c r="B1398" s="21" t="n">
        <v>46154</v>
      </c>
      <c r="C1398" s="4" t="inlineStr">
        <is>
          <t>Moncloa-Aravaca</t>
        </is>
      </c>
      <c r="D1398" s="4" t="n">
        <v>149</v>
      </c>
      <c r="E1398" s="4" t="inlineStr">
        <is>
          <t>reformado</t>
        </is>
      </c>
      <c r="F1398" s="22" t="n">
        <v>1047000</v>
      </c>
      <c r="G1398" s="23" t="n">
        <v>7026.85</v>
      </c>
      <c r="H1398" s="22" t="n">
        <v>983103</v>
      </c>
      <c r="I1398" s="23" t="n">
        <v>6598.01</v>
      </c>
      <c r="J1398" s="18" t="n">
        <v>0.065</v>
      </c>
      <c r="K1398" s="24" t="n">
        <v>33.8</v>
      </c>
      <c r="L1398" s="4" t="n">
        <v>7</v>
      </c>
      <c r="M1398" s="4" t="inlineStr">
        <is>
          <t>baja</t>
        </is>
      </c>
      <c r="N1398" s="4" t="inlineStr">
        <is>
          <t>en linea con comparables</t>
        </is>
      </c>
      <c r="O1398" s="4" t="n"/>
    </row>
    <row r="1399">
      <c r="A1399" s="4" t="inlineStr">
        <is>
          <t>MD-1538</t>
        </is>
      </c>
      <c r="B1399" s="21" t="n">
        <v>46154</v>
      </c>
      <c r="C1399" s="4" t="inlineStr">
        <is>
          <t>Puente de Vallecas</t>
        </is>
      </c>
      <c r="D1399" s="4" t="n">
        <v>91</v>
      </c>
      <c r="E1399" s="4" t="inlineStr">
        <is>
          <t>buen estado</t>
        </is>
      </c>
      <c r="F1399" s="22" t="n">
        <v>168000</v>
      </c>
      <c r="G1399" s="23" t="n">
        <v>1846.15</v>
      </c>
      <c r="H1399" s="22" t="n">
        <v>234770</v>
      </c>
      <c r="I1399" s="23" t="n">
        <v>2579.89</v>
      </c>
      <c r="J1399" s="18" t="n">
        <v>-0.2844</v>
      </c>
      <c r="K1399" s="24" t="n">
        <v>100</v>
      </c>
      <c r="L1399" s="4" t="n">
        <v>36</v>
      </c>
      <c r="M1399" s="4" t="inlineStr">
        <is>
          <t>alta</t>
        </is>
      </c>
      <c r="N1399" s="4" t="inlineStr">
        <is>
          <t>por debajo de comparables</t>
        </is>
      </c>
      <c r="O1399" s="4" t="n"/>
    </row>
    <row r="1400">
      <c r="A1400" s="4" t="inlineStr">
        <is>
          <t>MD-0261</t>
        </is>
      </c>
      <c r="B1400" s="21" t="n">
        <v>46155</v>
      </c>
      <c r="C1400" s="4" t="inlineStr">
        <is>
          <t>Latina</t>
        </is>
      </c>
      <c r="D1400" s="4" t="n">
        <v>66</v>
      </c>
      <c r="E1400" s="4" t="inlineStr">
        <is>
          <t>buen estado</t>
        </is>
      </c>
      <c r="F1400" s="22" t="n">
        <v>226000</v>
      </c>
      <c r="G1400" s="23" t="n">
        <v>3424.24</v>
      </c>
      <c r="H1400" s="22" t="n">
        <v>218844</v>
      </c>
      <c r="I1400" s="23" t="n">
        <v>3315.82</v>
      </c>
      <c r="J1400" s="18" t="n">
        <v>0.0327</v>
      </c>
      <c r="K1400" s="24" t="n">
        <v>41.8</v>
      </c>
      <c r="L1400" s="4" t="n">
        <v>50</v>
      </c>
      <c r="M1400" s="4" t="inlineStr">
        <is>
          <t>media</t>
        </is>
      </c>
      <c r="N1400" s="4" t="inlineStr">
        <is>
          <t>en linea con comparables</t>
        </is>
      </c>
      <c r="O1400" s="4" t="n"/>
    </row>
    <row r="1401">
      <c r="A1401" s="4" t="inlineStr">
        <is>
          <t>MD-0365</t>
        </is>
      </c>
      <c r="B1401" s="21" t="n">
        <v>46155</v>
      </c>
      <c r="C1401" s="4" t="inlineStr">
        <is>
          <t>San Blas-Canillejas</t>
        </is>
      </c>
      <c r="D1401" s="4" t="n">
        <v>177</v>
      </c>
      <c r="E1401" s="4" t="inlineStr">
        <is>
          <t>a reformar</t>
        </is>
      </c>
      <c r="F1401" s="22" t="n">
        <v>687000</v>
      </c>
      <c r="G1401" s="23" t="n">
        <v>3881.36</v>
      </c>
      <c r="H1401" s="22" t="n">
        <v>498344</v>
      </c>
      <c r="I1401" s="23" t="n">
        <v>2815.5</v>
      </c>
      <c r="J1401" s="18" t="n">
        <v>0.3786</v>
      </c>
      <c r="K1401" s="24" t="n">
        <v>0</v>
      </c>
      <c r="L1401" s="4" t="n">
        <v>8</v>
      </c>
      <c r="M1401" s="4" t="inlineStr">
        <is>
          <t>media</t>
        </is>
      </c>
      <c r="N1401" s="4" t="inlineStr">
        <is>
          <t>por encima de comparables</t>
        </is>
      </c>
      <c r="O1401" s="4" t="n"/>
    </row>
    <row r="1402">
      <c r="A1402" s="4" t="inlineStr">
        <is>
          <t>MD-0558</t>
        </is>
      </c>
      <c r="B1402" s="21" t="n">
        <v>46155</v>
      </c>
      <c r="C1402" s="4" t="inlineStr">
        <is>
          <t>Latina</t>
        </is>
      </c>
      <c r="D1402" s="4" t="n">
        <v>72</v>
      </c>
      <c r="E1402" s="4" t="inlineStr">
        <is>
          <t>reformado</t>
        </is>
      </c>
      <c r="F1402" s="22" t="n">
        <v>338000</v>
      </c>
      <c r="G1402" s="23" t="n">
        <v>4694.44</v>
      </c>
      <c r="H1402" s="22" t="n">
        <v>262595</v>
      </c>
      <c r="I1402" s="23" t="n">
        <v>3647.16</v>
      </c>
      <c r="J1402" s="18" t="n">
        <v>0.2872</v>
      </c>
      <c r="K1402" s="24" t="n">
        <v>0</v>
      </c>
      <c r="L1402" s="4" t="n">
        <v>47</v>
      </c>
      <c r="M1402" s="4" t="inlineStr">
        <is>
          <t>media</t>
        </is>
      </c>
      <c r="N1402" s="4" t="inlineStr">
        <is>
          <t>por encima de comparables</t>
        </is>
      </c>
      <c r="O1402" s="4" t="n"/>
    </row>
    <row r="1403">
      <c r="A1403" s="4" t="inlineStr">
        <is>
          <t>MD-1050</t>
        </is>
      </c>
      <c r="B1403" s="21" t="n">
        <v>46155</v>
      </c>
      <c r="C1403" s="4" t="inlineStr">
        <is>
          <t>Latina</t>
        </is>
      </c>
      <c r="D1403" s="4" t="n">
        <v>35</v>
      </c>
      <c r="E1403" s="4" t="inlineStr">
        <is>
          <t>buen estado</t>
        </is>
      </c>
      <c r="F1403" s="22" t="n">
        <v>137000</v>
      </c>
      <c r="G1403" s="23" t="n">
        <v>3914.29</v>
      </c>
      <c r="H1403" s="22" t="n">
        <v>106607</v>
      </c>
      <c r="I1403" s="23" t="n">
        <v>3045.91</v>
      </c>
      <c r="J1403" s="18" t="n">
        <v>0.2851</v>
      </c>
      <c r="K1403" s="24" t="n">
        <v>0</v>
      </c>
      <c r="L1403" s="4" t="n">
        <v>9</v>
      </c>
      <c r="M1403" s="4" t="inlineStr">
        <is>
          <t>media</t>
        </is>
      </c>
      <c r="N1403" s="4" t="inlineStr">
        <is>
          <t>por encima de comparables</t>
        </is>
      </c>
      <c r="O1403" s="4" t="n"/>
    </row>
    <row r="1404">
      <c r="A1404" s="4" t="inlineStr">
        <is>
          <t>MD-1176</t>
        </is>
      </c>
      <c r="B1404" s="21" t="n">
        <v>46155</v>
      </c>
      <c r="C1404" s="4" t="inlineStr">
        <is>
          <t>Vicalvaro</t>
        </is>
      </c>
      <c r="D1404" s="4" t="n">
        <v>88</v>
      </c>
      <c r="E1404" s="4" t="inlineStr">
        <is>
          <t>obra nueva</t>
        </is>
      </c>
      <c r="F1404" s="22" t="n">
        <v>295000</v>
      </c>
      <c r="G1404" s="23" t="n">
        <v>3352.27</v>
      </c>
      <c r="H1404" s="22" t="n">
        <v>325476</v>
      </c>
      <c r="I1404" s="23" t="n">
        <v>3698.59</v>
      </c>
      <c r="J1404" s="18" t="n">
        <v>-0.0936</v>
      </c>
      <c r="K1404" s="24" t="n">
        <v>73.40000000000001</v>
      </c>
      <c r="L1404" s="4" t="n">
        <v>25</v>
      </c>
      <c r="M1404" s="4" t="inlineStr">
        <is>
          <t>media</t>
        </is>
      </c>
      <c r="N1404" s="4" t="inlineStr">
        <is>
          <t>en linea con comparables</t>
        </is>
      </c>
      <c r="O1404" s="4" t="n"/>
    </row>
    <row r="1405">
      <c r="A1405" s="4" t="inlineStr">
        <is>
          <t>MD-1840</t>
        </is>
      </c>
      <c r="B1405" s="21" t="n">
        <v>46155</v>
      </c>
      <c r="C1405" s="4" t="inlineStr">
        <is>
          <t>Tetuan</t>
        </is>
      </c>
      <c r="D1405" s="4" t="n">
        <v>60</v>
      </c>
      <c r="E1405" s="4" t="inlineStr">
        <is>
          <t>buen estado</t>
        </is>
      </c>
      <c r="F1405" s="22" t="n">
        <v>381000</v>
      </c>
      <c r="G1405" s="23" t="n">
        <v>6350</v>
      </c>
      <c r="H1405" s="22" t="n">
        <v>312231</v>
      </c>
      <c r="I1405" s="23" t="n">
        <v>5203.85</v>
      </c>
      <c r="J1405" s="18" t="n">
        <v>0.2203</v>
      </c>
      <c r="K1405" s="24" t="n">
        <v>0</v>
      </c>
      <c r="L1405" s="4" t="n">
        <v>23</v>
      </c>
      <c r="M1405" s="4" t="inlineStr">
        <is>
          <t>alta</t>
        </is>
      </c>
      <c r="N1405" s="4" t="inlineStr">
        <is>
          <t>por encima de comparables</t>
        </is>
      </c>
      <c r="O1405" s="4" t="n"/>
    </row>
    <row r="1406">
      <c r="A1406" s="4" t="inlineStr">
        <is>
          <t>MD-0733</t>
        </is>
      </c>
      <c r="B1406" s="21" t="n">
        <v>46156</v>
      </c>
      <c r="C1406" s="4" t="inlineStr">
        <is>
          <t>Moncloa-Aravaca</t>
        </is>
      </c>
      <c r="D1406" s="4" t="n">
        <v>146</v>
      </c>
      <c r="E1406" s="4" t="inlineStr">
        <is>
          <t>reformado</t>
        </is>
      </c>
      <c r="F1406" s="22" t="n">
        <v>975000</v>
      </c>
      <c r="G1406" s="23" t="n">
        <v>6678.08</v>
      </c>
      <c r="H1406" s="22" t="n">
        <v>991093</v>
      </c>
      <c r="I1406" s="23" t="n">
        <v>6788.31</v>
      </c>
      <c r="J1406" s="18" t="n">
        <v>-0.0162</v>
      </c>
      <c r="K1406" s="24" t="n">
        <v>54.1</v>
      </c>
      <c r="L1406" s="4" t="n">
        <v>7</v>
      </c>
      <c r="M1406" s="4" t="inlineStr">
        <is>
          <t>baja</t>
        </is>
      </c>
      <c r="N1406" s="4" t="inlineStr">
        <is>
          <t>en linea con comparables</t>
        </is>
      </c>
      <c r="O1406" s="4" t="n"/>
    </row>
    <row r="1407">
      <c r="A1407" s="4" t="inlineStr">
        <is>
          <t>MD-0393</t>
        </is>
      </c>
      <c r="B1407" s="21" t="n">
        <v>46156</v>
      </c>
      <c r="C1407" s="4" t="inlineStr">
        <is>
          <t>Vicalvaro</t>
        </is>
      </c>
      <c r="D1407" s="4" t="n">
        <v>100</v>
      </c>
      <c r="E1407" s="4" t="inlineStr">
        <is>
          <t>a reformar</t>
        </is>
      </c>
      <c r="F1407" s="22" t="n">
        <v>342000</v>
      </c>
      <c r="G1407" s="23" t="n">
        <v>3420</v>
      </c>
      <c r="H1407" s="22" t="n">
        <v>305999</v>
      </c>
      <c r="I1407" s="23" t="n">
        <v>3059.99</v>
      </c>
      <c r="J1407" s="18" t="n">
        <v>0.1176</v>
      </c>
      <c r="K1407" s="24" t="n">
        <v>20.6</v>
      </c>
      <c r="L1407" s="4" t="n">
        <v>29</v>
      </c>
      <c r="M1407" s="4" t="inlineStr">
        <is>
          <t>alta</t>
        </is>
      </c>
      <c r="N1407" s="4" t="inlineStr">
        <is>
          <t>por encima de comparables</t>
        </is>
      </c>
      <c r="O1407" s="4" t="n"/>
    </row>
    <row r="1408">
      <c r="A1408" s="4" t="inlineStr">
        <is>
          <t>MD-0966</t>
        </is>
      </c>
      <c r="B1408" s="21" t="n">
        <v>46156</v>
      </c>
      <c r="C1408" s="4" t="inlineStr">
        <is>
          <t>Moratalaz</t>
        </is>
      </c>
      <c r="D1408" s="4" t="n">
        <v>96</v>
      </c>
      <c r="E1408" s="4" t="inlineStr">
        <is>
          <t>reformado</t>
        </is>
      </c>
      <c r="F1408" s="22" t="n">
        <v>432000</v>
      </c>
      <c r="G1408" s="23" t="n">
        <v>4500</v>
      </c>
      <c r="H1408" s="22" t="n">
        <v>427716</v>
      </c>
      <c r="I1408" s="23" t="n">
        <v>4455.37</v>
      </c>
      <c r="J1408" s="18" t="n">
        <v>0.01</v>
      </c>
      <c r="K1408" s="24" t="n">
        <v>47.5</v>
      </c>
      <c r="L1408" s="4" t="n">
        <v>16</v>
      </c>
      <c r="M1408" s="4" t="inlineStr">
        <is>
          <t>alta</t>
        </is>
      </c>
      <c r="N1408" s="4" t="inlineStr">
        <is>
          <t>en linea con comparables</t>
        </is>
      </c>
      <c r="O1408" s="4" t="n"/>
    </row>
    <row r="1409">
      <c r="A1409" s="4" t="inlineStr">
        <is>
          <t>MD-0962</t>
        </is>
      </c>
      <c r="B1409" s="21" t="n">
        <v>46156</v>
      </c>
      <c r="C1409" s="4" t="inlineStr">
        <is>
          <t>Chamberi</t>
        </is>
      </c>
      <c r="D1409" s="4" t="n">
        <v>56</v>
      </c>
      <c r="E1409" s="4" t="inlineStr">
        <is>
          <t>buen estado</t>
        </is>
      </c>
      <c r="F1409" s="22" t="n">
        <v>451000</v>
      </c>
      <c r="G1409" s="23" t="n">
        <v>8053.57</v>
      </c>
      <c r="H1409" s="22" t="n">
        <v>421313</v>
      </c>
      <c r="I1409" s="23" t="n">
        <v>7523.44</v>
      </c>
      <c r="J1409" s="18" t="n">
        <v>0.07049999999999999</v>
      </c>
      <c r="K1409" s="24" t="n">
        <v>32.4</v>
      </c>
      <c r="L1409" s="4" t="n">
        <v>14</v>
      </c>
      <c r="M1409" s="4" t="inlineStr">
        <is>
          <t>media</t>
        </is>
      </c>
      <c r="N1409" s="4" t="inlineStr">
        <is>
          <t>en linea con comparables</t>
        </is>
      </c>
      <c r="O1409" s="4" t="n"/>
    </row>
    <row r="1410">
      <c r="A1410" s="4" t="inlineStr">
        <is>
          <t>MD-0085</t>
        </is>
      </c>
      <c r="B1410" s="21" t="n">
        <v>46156</v>
      </c>
      <c r="C1410" s="4" t="inlineStr">
        <is>
          <t>Arganzuela</t>
        </is>
      </c>
      <c r="D1410" s="4" t="n">
        <v>54</v>
      </c>
      <c r="E1410" s="4" t="inlineStr">
        <is>
          <t>reformado</t>
        </is>
      </c>
      <c r="F1410" s="22" t="n">
        <v>303000</v>
      </c>
      <c r="G1410" s="23" t="n">
        <v>5611.11</v>
      </c>
      <c r="H1410" s="22" t="n">
        <v>321497</v>
      </c>
      <c r="I1410" s="23" t="n">
        <v>5953.66</v>
      </c>
      <c r="J1410" s="18" t="n">
        <v>-0.0575</v>
      </c>
      <c r="K1410" s="24" t="n">
        <v>64.40000000000001</v>
      </c>
      <c r="L1410" s="4" t="n">
        <v>16</v>
      </c>
      <c r="M1410" s="4" t="inlineStr">
        <is>
          <t>media</t>
        </is>
      </c>
      <c r="N1410" s="4" t="inlineStr">
        <is>
          <t>en linea con comparables</t>
        </is>
      </c>
      <c r="O1410" s="4" t="n"/>
    </row>
    <row r="1411">
      <c r="A1411" s="4" t="inlineStr">
        <is>
          <t>MD-0272</t>
        </is>
      </c>
      <c r="B1411" s="21" t="n">
        <v>46156</v>
      </c>
      <c r="C1411" s="4" t="inlineStr">
        <is>
          <t>Ciudad Lineal</t>
        </is>
      </c>
      <c r="D1411" s="4" t="n">
        <v>64</v>
      </c>
      <c r="E1411" s="4" t="inlineStr">
        <is>
          <t>a reformar</t>
        </is>
      </c>
      <c r="F1411" s="22" t="n">
        <v>244000</v>
      </c>
      <c r="G1411" s="23" t="n">
        <v>3812.5</v>
      </c>
      <c r="H1411" s="22" t="n">
        <v>278822</v>
      </c>
      <c r="I1411" s="23" t="n">
        <v>4356.59</v>
      </c>
      <c r="J1411" s="18" t="n">
        <v>-0.1249</v>
      </c>
      <c r="K1411" s="24" t="n">
        <v>81.2</v>
      </c>
      <c r="L1411" s="4" t="n">
        <v>28</v>
      </c>
      <c r="M1411" s="4" t="inlineStr">
        <is>
          <t>media</t>
        </is>
      </c>
      <c r="N1411" s="4" t="inlineStr">
        <is>
          <t>por debajo de comparables</t>
        </is>
      </c>
      <c r="O1411" s="4" t="n"/>
    </row>
    <row r="1412">
      <c r="A1412" s="4" t="inlineStr">
        <is>
          <t>MD-0392</t>
        </is>
      </c>
      <c r="B1412" s="21" t="n">
        <v>46156</v>
      </c>
      <c r="C1412" s="4" t="inlineStr">
        <is>
          <t>Villaverde</t>
        </is>
      </c>
      <c r="D1412" s="4" t="n">
        <v>56</v>
      </c>
      <c r="E1412" s="4" t="inlineStr">
        <is>
          <t>buen estado</t>
        </is>
      </c>
      <c r="F1412" s="22" t="n">
        <v>112000</v>
      </c>
      <c r="G1412" s="23" t="n">
        <v>2000</v>
      </c>
      <c r="H1412" s="22" t="n">
        <v>108723</v>
      </c>
      <c r="I1412" s="23" t="n">
        <v>1941.49</v>
      </c>
      <c r="J1412" s="18" t="n">
        <v>0.0301</v>
      </c>
      <c r="K1412" s="24" t="n">
        <v>42.5</v>
      </c>
      <c r="L1412" s="4" t="n">
        <v>9</v>
      </c>
      <c r="M1412" s="4" t="inlineStr">
        <is>
          <t>media</t>
        </is>
      </c>
      <c r="N1412" s="4" t="inlineStr">
        <is>
          <t>en linea con comparables</t>
        </is>
      </c>
      <c r="O1412" s="4" t="n"/>
    </row>
    <row r="1413">
      <c r="A1413" s="4" t="inlineStr">
        <is>
          <t>MD-1230</t>
        </is>
      </c>
      <c r="B1413" s="21" t="n">
        <v>46157</v>
      </c>
      <c r="C1413" s="4" t="inlineStr">
        <is>
          <t>Fuencarral-El Pardo</t>
        </is>
      </c>
      <c r="D1413" s="4" t="n">
        <v>139</v>
      </c>
      <c r="E1413" s="4" t="inlineStr">
        <is>
          <t>a reformar</t>
        </is>
      </c>
      <c r="F1413" s="22" t="n">
        <v>626000</v>
      </c>
      <c r="G1413" s="23" t="n">
        <v>4503.6</v>
      </c>
      <c r="H1413" s="22" t="n">
        <v>670762</v>
      </c>
      <c r="I1413" s="23" t="n">
        <v>4825.63</v>
      </c>
      <c r="J1413" s="18" t="n">
        <v>-0.0667</v>
      </c>
      <c r="K1413" s="24" t="n">
        <v>66.7</v>
      </c>
      <c r="L1413" s="4" t="n">
        <v>23</v>
      </c>
      <c r="M1413" s="4" t="inlineStr">
        <is>
          <t>alta</t>
        </is>
      </c>
      <c r="N1413" s="4" t="inlineStr">
        <is>
          <t>en linea con comparables</t>
        </is>
      </c>
      <c r="O1413" s="4" t="n"/>
    </row>
    <row r="1414">
      <c r="A1414" s="4" t="inlineStr">
        <is>
          <t>MD-0135</t>
        </is>
      </c>
      <c r="B1414" s="21" t="n">
        <v>46157</v>
      </c>
      <c r="C1414" s="4" t="inlineStr">
        <is>
          <t>Chamberi</t>
        </is>
      </c>
      <c r="D1414" s="4" t="n">
        <v>183</v>
      </c>
      <c r="E1414" s="4" t="inlineStr">
        <is>
          <t>obra nueva</t>
        </is>
      </c>
      <c r="F1414" s="22" t="n">
        <v>148000</v>
      </c>
      <c r="G1414" s="23" t="n">
        <v>808.74</v>
      </c>
      <c r="H1414" s="22" t="n">
        <v>1821974</v>
      </c>
      <c r="I1414" s="23" t="n">
        <v>9956.139999999999</v>
      </c>
      <c r="J1414" s="18" t="n">
        <v>-0.9188</v>
      </c>
      <c r="K1414" s="24" t="n">
        <v>100</v>
      </c>
      <c r="L1414" s="4" t="n">
        <v>11</v>
      </c>
      <c r="M1414" s="4" t="inlineStr">
        <is>
          <t>media</t>
        </is>
      </c>
      <c r="N1414" s="4" t="inlineStr">
        <is>
          <t>por debajo de comparables</t>
        </is>
      </c>
      <c r="O1414" s="4" t="n"/>
    </row>
    <row r="1415">
      <c r="A1415" s="4" t="inlineStr">
        <is>
          <t>MD-1718</t>
        </is>
      </c>
      <c r="B1415" s="21" t="n">
        <v>46157</v>
      </c>
      <c r="C1415" s="4" t="inlineStr">
        <is>
          <t>Ciudad Lineal</t>
        </is>
      </c>
      <c r="D1415" s="4" t="n">
        <v>62</v>
      </c>
      <c r="E1415" s="4" t="inlineStr">
        <is>
          <t>buen estado</t>
        </is>
      </c>
      <c r="F1415" s="22" t="n">
        <v>291000</v>
      </c>
      <c r="G1415" s="23" t="n">
        <v>4693.55</v>
      </c>
      <c r="H1415" s="22" t="n">
        <v>307238</v>
      </c>
      <c r="I1415" s="23" t="n">
        <v>4955.46</v>
      </c>
      <c r="J1415" s="18" t="n">
        <v>-0.0529</v>
      </c>
      <c r="K1415" s="24" t="n">
        <v>63.2</v>
      </c>
      <c r="L1415" s="4" t="n">
        <v>31</v>
      </c>
      <c r="M1415" s="4" t="inlineStr">
        <is>
          <t>media</t>
        </is>
      </c>
      <c r="N1415" s="4" t="inlineStr">
        <is>
          <t>en linea con comparables</t>
        </is>
      </c>
      <c r="O1415" s="4" t="n"/>
    </row>
    <row r="1416">
      <c r="A1416" s="4" t="inlineStr">
        <is>
          <t>MD-0542</t>
        </is>
      </c>
      <c r="B1416" s="21" t="n">
        <v>46158</v>
      </c>
      <c r="C1416" s="4" t="inlineStr">
        <is>
          <t>Fuencarral-El Pardo</t>
        </is>
      </c>
      <c r="D1416" s="4" t="n">
        <v>133</v>
      </c>
      <c r="E1416" s="4" t="inlineStr">
        <is>
          <t>a reformar</t>
        </is>
      </c>
      <c r="F1416" s="22" t="n">
        <v>546000</v>
      </c>
      <c r="G1416" s="23" t="n">
        <v>4105.26</v>
      </c>
      <c r="H1416" s="22" t="n">
        <v>575113</v>
      </c>
      <c r="I1416" s="23" t="n">
        <v>4324.16</v>
      </c>
      <c r="J1416" s="18" t="n">
        <v>-0.0506</v>
      </c>
      <c r="K1416" s="24" t="n">
        <v>62.7</v>
      </c>
      <c r="L1416" s="4" t="n">
        <v>25</v>
      </c>
      <c r="M1416" s="4" t="inlineStr">
        <is>
          <t>alta</t>
        </is>
      </c>
      <c r="N1416" s="4" t="inlineStr">
        <is>
          <t>en linea con comparables</t>
        </is>
      </c>
      <c r="O1416" s="4" t="n"/>
    </row>
    <row r="1417">
      <c r="A1417" s="4" t="inlineStr">
        <is>
          <t>MD-1625</t>
        </is>
      </c>
      <c r="B1417" s="21" t="n">
        <v>46158</v>
      </c>
      <c r="C1417" s="4" t="inlineStr">
        <is>
          <t>Tetuan</t>
        </is>
      </c>
      <c r="D1417" s="4" t="n">
        <v>77</v>
      </c>
      <c r="E1417" s="4" t="inlineStr">
        <is>
          <t>buen estado</t>
        </is>
      </c>
      <c r="F1417" s="22" t="n">
        <v>383000</v>
      </c>
      <c r="G1417" s="23" t="n">
        <v>4974.03</v>
      </c>
      <c r="H1417" s="22" t="n">
        <v>416157</v>
      </c>
      <c r="I1417" s="23" t="n">
        <v>5404.64</v>
      </c>
      <c r="J1417" s="18" t="n">
        <v>-0.07969999999999999</v>
      </c>
      <c r="K1417" s="24" t="n">
        <v>69.90000000000001</v>
      </c>
      <c r="L1417" s="4" t="n">
        <v>25</v>
      </c>
      <c r="M1417" s="4" t="inlineStr">
        <is>
          <t>alta</t>
        </is>
      </c>
      <c r="N1417" s="4" t="inlineStr">
        <is>
          <t>en linea con comparables</t>
        </is>
      </c>
      <c r="O1417" s="4" t="n"/>
    </row>
    <row r="1418">
      <c r="A1418" s="4" t="inlineStr">
        <is>
          <t>MD-1310</t>
        </is>
      </c>
      <c r="B1418" s="21" t="n">
        <v>46158</v>
      </c>
      <c r="C1418" s="4" t="inlineStr">
        <is>
          <t>Chamartin</t>
        </is>
      </c>
      <c r="D1418" s="4" t="n">
        <v>78</v>
      </c>
      <c r="E1418" s="4" t="inlineStr">
        <is>
          <t>reformado</t>
        </is>
      </c>
      <c r="F1418" s="22" t="n">
        <v>422000</v>
      </c>
      <c r="G1418" s="23" t="n">
        <v>5410.26</v>
      </c>
      <c r="H1418" s="22" t="n">
        <v>610808</v>
      </c>
      <c r="I1418" s="23" t="n">
        <v>7830.87</v>
      </c>
      <c r="J1418" s="18" t="n">
        <v>-0.3091</v>
      </c>
      <c r="K1418" s="24" t="n">
        <v>100</v>
      </c>
      <c r="L1418" s="4" t="n">
        <v>24</v>
      </c>
      <c r="M1418" s="4" t="inlineStr">
        <is>
          <t>alta</t>
        </is>
      </c>
      <c r="N1418" s="4" t="inlineStr">
        <is>
          <t>por debajo de comparables</t>
        </is>
      </c>
      <c r="O1418" s="4" t="n"/>
    </row>
    <row r="1419">
      <c r="A1419" s="4" t="inlineStr">
        <is>
          <t>MD-1699</t>
        </is>
      </c>
      <c r="B1419" s="21" t="n">
        <v>46158</v>
      </c>
      <c r="C1419" s="4" t="inlineStr">
        <is>
          <t>Chamartin</t>
        </is>
      </c>
      <c r="D1419" s="4" t="n">
        <v>73</v>
      </c>
      <c r="E1419" s="4" t="inlineStr">
        <is>
          <t>buen estado</t>
        </is>
      </c>
      <c r="F1419" s="22" t="n">
        <v>585000</v>
      </c>
      <c r="G1419" s="23" t="n">
        <v>8013.7</v>
      </c>
      <c r="H1419" s="22" t="n">
        <v>575315</v>
      </c>
      <c r="I1419" s="23" t="n">
        <v>7881.03</v>
      </c>
      <c r="J1419" s="18" t="n">
        <v>0.0168</v>
      </c>
      <c r="K1419" s="24" t="n">
        <v>45.8</v>
      </c>
      <c r="L1419" s="4" t="n">
        <v>22</v>
      </c>
      <c r="M1419" s="4" t="inlineStr">
        <is>
          <t>alta</t>
        </is>
      </c>
      <c r="N1419" s="4" t="inlineStr">
        <is>
          <t>en linea con comparables</t>
        </is>
      </c>
      <c r="O1419" s="4" t="n"/>
    </row>
    <row r="1420">
      <c r="A1420" s="4" t="inlineStr">
        <is>
          <t>MD-1891</t>
        </is>
      </c>
      <c r="B1420" s="21" t="n">
        <v>46158</v>
      </c>
      <c r="C1420" s="4" t="inlineStr">
        <is>
          <t>Arganzuela</t>
        </is>
      </c>
      <c r="D1420" s="4" t="n">
        <v>80</v>
      </c>
      <c r="E1420" s="4" t="inlineStr">
        <is>
          <t>obra nueva</t>
        </is>
      </c>
      <c r="F1420" s="22" t="n">
        <v>595000</v>
      </c>
      <c r="G1420" s="23" t="n">
        <v>7437.5</v>
      </c>
      <c r="H1420" s="22" t="n">
        <v>582106</v>
      </c>
      <c r="I1420" s="23" t="n">
        <v>7276.32</v>
      </c>
      <c r="J1420" s="18" t="n">
        <v>0.0222</v>
      </c>
      <c r="K1420" s="24" t="n">
        <v>44.5</v>
      </c>
      <c r="L1420" s="4" t="n">
        <v>21</v>
      </c>
      <c r="M1420" s="4" t="inlineStr">
        <is>
          <t>alta</t>
        </is>
      </c>
      <c r="N1420" s="4" t="inlineStr">
        <is>
          <t>en linea con comparables</t>
        </is>
      </c>
      <c r="O1420" s="4" t="n"/>
    </row>
    <row r="1421">
      <c r="A1421" s="4" t="inlineStr">
        <is>
          <t>MD-1710</t>
        </is>
      </c>
      <c r="B1421" s="21" t="n">
        <v>46158</v>
      </c>
      <c r="C1421" s="4" t="inlineStr">
        <is>
          <t>Vicalvaro</t>
        </is>
      </c>
      <c r="D1421" s="4" t="n">
        <v>97</v>
      </c>
      <c r="E1421" s="4" t="inlineStr">
        <is>
          <t>a reformar</t>
        </is>
      </c>
      <c r="F1421" s="22" t="n">
        <v>176000</v>
      </c>
      <c r="G1421" s="23" t="n">
        <v>1814.43</v>
      </c>
      <c r="H1421" s="22" t="n">
        <v>261665</v>
      </c>
      <c r="I1421" s="23" t="n">
        <v>2697.58</v>
      </c>
      <c r="J1421" s="18" t="n">
        <v>-0.3274</v>
      </c>
      <c r="K1421" s="24" t="n">
        <v>100</v>
      </c>
      <c r="L1421" s="4" t="n">
        <v>32</v>
      </c>
      <c r="M1421" s="4" t="inlineStr">
        <is>
          <t>alta</t>
        </is>
      </c>
      <c r="N1421" s="4" t="inlineStr">
        <is>
          <t>por debajo de comparables</t>
        </is>
      </c>
      <c r="O1421" s="4" t="n"/>
    </row>
    <row r="1422">
      <c r="A1422" s="4" t="inlineStr">
        <is>
          <t>MD-1806</t>
        </is>
      </c>
      <c r="B1422" s="21" t="n">
        <v>46158</v>
      </c>
      <c r="C1422" s="4" t="inlineStr">
        <is>
          <t>Arganzuela</t>
        </is>
      </c>
      <c r="D1422" s="4" t="n">
        <v>74</v>
      </c>
      <c r="E1422" s="4" t="inlineStr">
        <is>
          <t>obra nueva</t>
        </is>
      </c>
      <c r="F1422" s="22" t="n">
        <v>491000</v>
      </c>
      <c r="G1422" s="23" t="n">
        <v>6635.14</v>
      </c>
      <c r="H1422" s="22" t="n">
        <v>469851</v>
      </c>
      <c r="I1422" s="23" t="n">
        <v>6349.34</v>
      </c>
      <c r="J1422" s="18" t="n">
        <v>0.045</v>
      </c>
      <c r="K1422" s="24" t="n">
        <v>38.7</v>
      </c>
      <c r="L1422" s="4" t="n">
        <v>24</v>
      </c>
      <c r="M1422" s="4" t="inlineStr">
        <is>
          <t>alta</t>
        </is>
      </c>
      <c r="N1422" s="4" t="inlineStr">
        <is>
          <t>en linea con comparables</t>
        </is>
      </c>
      <c r="O1422" s="4" t="n"/>
    </row>
    <row r="1423">
      <c r="A1423" s="4" t="inlineStr">
        <is>
          <t>MD-0881</t>
        </is>
      </c>
      <c r="B1423" s="21" t="n">
        <v>46159</v>
      </c>
      <c r="C1423" s="4" t="inlineStr">
        <is>
          <t>Latina</t>
        </is>
      </c>
      <c r="D1423" s="4" t="n">
        <v>47</v>
      </c>
      <c r="E1423" s="4" t="inlineStr">
        <is>
          <t>buen estado</t>
        </is>
      </c>
      <c r="F1423" s="22" t="n">
        <v>148000</v>
      </c>
      <c r="G1423" s="23" t="n">
        <v>3148.94</v>
      </c>
      <c r="H1423" s="22" t="n">
        <v>146595</v>
      </c>
      <c r="I1423" s="23" t="n">
        <v>3119.05</v>
      </c>
      <c r="J1423" s="18" t="n">
        <v>0.009599999999999999</v>
      </c>
      <c r="K1423" s="24" t="n">
        <v>47.6</v>
      </c>
      <c r="L1423" s="4" t="n">
        <v>33</v>
      </c>
      <c r="M1423" s="4" t="inlineStr">
        <is>
          <t>alta</t>
        </is>
      </c>
      <c r="N1423" s="4" t="inlineStr">
        <is>
          <t>en linea con comparables</t>
        </is>
      </c>
      <c r="O1423" s="4" t="n"/>
    </row>
    <row r="1424">
      <c r="A1424" s="4" t="inlineStr">
        <is>
          <t>MD-0561</t>
        </is>
      </c>
      <c r="B1424" s="21" t="n">
        <v>46159</v>
      </c>
      <c r="C1424" s="4" t="inlineStr">
        <is>
          <t>Fuencarral-El Pardo</t>
        </is>
      </c>
      <c r="D1424" s="4" t="n">
        <v>100</v>
      </c>
      <c r="E1424" s="4" t="inlineStr">
        <is>
          <t>a reformar</t>
        </is>
      </c>
      <c r="F1424" s="22" t="n">
        <v>612000</v>
      </c>
      <c r="G1424" s="23" t="n">
        <v>6120</v>
      </c>
      <c r="H1424" s="22" t="n">
        <v>485236</v>
      </c>
      <c r="I1424" s="23" t="n">
        <v>4852.36</v>
      </c>
      <c r="J1424" s="18" t="n">
        <v>0.2612</v>
      </c>
      <c r="K1424" s="24" t="n">
        <v>0</v>
      </c>
      <c r="L1424" s="4" t="n">
        <v>32</v>
      </c>
      <c r="M1424" s="4" t="inlineStr">
        <is>
          <t>alta</t>
        </is>
      </c>
      <c r="N1424" s="4" t="inlineStr">
        <is>
          <t>por encima de comparables</t>
        </is>
      </c>
      <c r="O1424" s="4" t="n"/>
    </row>
    <row r="1425">
      <c r="A1425" s="4" t="inlineStr">
        <is>
          <t>MD-1178</t>
        </is>
      </c>
      <c r="B1425" s="21" t="n">
        <v>46159</v>
      </c>
      <c r="C1425" s="4" t="inlineStr">
        <is>
          <t>Ciudad Lineal</t>
        </is>
      </c>
      <c r="D1425" s="4" t="n">
        <v>78</v>
      </c>
      <c r="E1425" s="4" t="inlineStr">
        <is>
          <t>buen estado</t>
        </is>
      </c>
      <c r="F1425" s="22" t="n">
        <v>348000</v>
      </c>
      <c r="G1425" s="23" t="n">
        <v>4461.54</v>
      </c>
      <c r="H1425" s="22" t="n">
        <v>331877</v>
      </c>
      <c r="I1425" s="23" t="n">
        <v>4254.83</v>
      </c>
      <c r="J1425" s="18" t="n">
        <v>0.0486</v>
      </c>
      <c r="K1425" s="24" t="n">
        <v>37.9</v>
      </c>
      <c r="L1425" s="4" t="n">
        <v>29</v>
      </c>
      <c r="M1425" s="4" t="inlineStr">
        <is>
          <t>media</t>
        </is>
      </c>
      <c r="N1425" s="4" t="inlineStr">
        <is>
          <t>en linea con comparables</t>
        </is>
      </c>
      <c r="O1425" s="4" t="n"/>
    </row>
    <row r="1426">
      <c r="A1426" s="4" t="inlineStr">
        <is>
          <t>MD-0720</t>
        </is>
      </c>
      <c r="B1426" s="21" t="n">
        <v>46159</v>
      </c>
      <c r="C1426" s="4" t="inlineStr">
        <is>
          <t>Chamartin</t>
        </is>
      </c>
      <c r="D1426" s="4" t="n">
        <v>169</v>
      </c>
      <c r="E1426" s="4" t="inlineStr">
        <is>
          <t>buen estado</t>
        </is>
      </c>
      <c r="F1426" s="22" t="n">
        <v>1114000</v>
      </c>
      <c r="G1426" s="23" t="n">
        <v>6591.72</v>
      </c>
      <c r="H1426" s="22" t="n">
        <v>1078096</v>
      </c>
      <c r="I1426" s="23" t="n">
        <v>6379.27</v>
      </c>
      <c r="J1426" s="18" t="n">
        <v>0.0333</v>
      </c>
      <c r="K1426" s="24" t="n">
        <v>41.7</v>
      </c>
      <c r="L1426" s="4" t="n">
        <v>18</v>
      </c>
      <c r="M1426" s="4" t="inlineStr">
        <is>
          <t>media</t>
        </is>
      </c>
      <c r="N1426" s="4" t="inlineStr">
        <is>
          <t>en linea con comparables</t>
        </is>
      </c>
      <c r="O1426" s="4" t="n"/>
    </row>
    <row r="1427">
      <c r="A1427" s="4" t="inlineStr">
        <is>
          <t>MD-0537</t>
        </is>
      </c>
      <c r="B1427" s="21" t="n">
        <v>46159</v>
      </c>
      <c r="C1427" s="4" t="inlineStr">
        <is>
          <t>Tetuan</t>
        </is>
      </c>
      <c r="D1427" s="4" t="n">
        <v>78</v>
      </c>
      <c r="E1427" s="4" t="inlineStr">
        <is>
          <t>buen estado</t>
        </is>
      </c>
      <c r="F1427" s="22" t="n">
        <v>477000</v>
      </c>
      <c r="G1427" s="23" t="n">
        <v>6115.38</v>
      </c>
      <c r="H1427" s="22" t="n">
        <v>421562</v>
      </c>
      <c r="I1427" s="23" t="n">
        <v>5404.64</v>
      </c>
      <c r="J1427" s="18" t="n">
        <v>0.1315</v>
      </c>
      <c r="K1427" s="24" t="n">
        <v>17.1</v>
      </c>
      <c r="L1427" s="4" t="n">
        <v>25</v>
      </c>
      <c r="M1427" s="4" t="inlineStr">
        <is>
          <t>alta</t>
        </is>
      </c>
      <c r="N1427" s="4" t="inlineStr">
        <is>
          <t>por encima de comparables</t>
        </is>
      </c>
      <c r="O1427" s="4" t="n"/>
    </row>
    <row r="1428">
      <c r="A1428" s="4" t="inlineStr">
        <is>
          <t>MD-0314</t>
        </is>
      </c>
      <c r="B1428" s="21" t="n">
        <v>46160</v>
      </c>
      <c r="C1428" s="4" t="inlineStr">
        <is>
          <t>Fuencarral-El Pardo</t>
        </is>
      </c>
      <c r="D1428" s="4" t="n">
        <v>99</v>
      </c>
      <c r="E1428" s="4" t="inlineStr">
        <is>
          <t>buen estado</t>
        </is>
      </c>
      <c r="F1428" s="22" t="n">
        <v>524000</v>
      </c>
      <c r="G1428" s="23" t="n">
        <v>5292.93</v>
      </c>
      <c r="H1428" s="22" t="n">
        <v>557184</v>
      </c>
      <c r="I1428" s="23" t="n">
        <v>5628.12</v>
      </c>
      <c r="J1428" s="18" t="n">
        <v>-0.0596</v>
      </c>
      <c r="K1428" s="24" t="n">
        <v>64.90000000000001</v>
      </c>
      <c r="L1428" s="4" t="n">
        <v>33</v>
      </c>
      <c r="M1428" s="4" t="inlineStr">
        <is>
          <t>alta</t>
        </is>
      </c>
      <c r="N1428" s="4" t="inlineStr">
        <is>
          <t>en linea con comparables</t>
        </is>
      </c>
      <c r="O1428" s="4" t="n"/>
    </row>
    <row r="1429">
      <c r="A1429" s="4" t="inlineStr">
        <is>
          <t>MD-0491</t>
        </is>
      </c>
      <c r="B1429" s="21" t="n">
        <v>46160</v>
      </c>
      <c r="C1429" s="4" t="inlineStr">
        <is>
          <t>Hortaleza</t>
        </is>
      </c>
      <c r="D1429" s="4" t="n">
        <v>110</v>
      </c>
      <c r="E1429" s="4" t="inlineStr">
        <is>
          <t>a reformar</t>
        </is>
      </c>
      <c r="F1429" s="22" t="n">
        <v>477000</v>
      </c>
      <c r="G1429" s="23" t="n">
        <v>4336.36</v>
      </c>
      <c r="H1429" s="22" t="n">
        <v>515204</v>
      </c>
      <c r="I1429" s="23" t="n">
        <v>4683.67</v>
      </c>
      <c r="J1429" s="18" t="n">
        <v>-0.0742</v>
      </c>
      <c r="K1429" s="24" t="n">
        <v>68.5</v>
      </c>
      <c r="L1429" s="4" t="n">
        <v>27</v>
      </c>
      <c r="M1429" s="4" t="inlineStr">
        <is>
          <t>alta</t>
        </is>
      </c>
      <c r="N1429" s="4" t="inlineStr">
        <is>
          <t>en linea con comparables</t>
        </is>
      </c>
      <c r="O1429" s="4" t="n"/>
    </row>
    <row r="1430">
      <c r="A1430" s="4" t="inlineStr">
        <is>
          <t>MD-1005</t>
        </is>
      </c>
      <c r="B1430" s="21" t="n">
        <v>46160</v>
      </c>
      <c r="C1430" s="4" t="inlineStr">
        <is>
          <t>Fuencarral-El Pardo</t>
        </is>
      </c>
      <c r="D1430" s="4" t="n">
        <v>98</v>
      </c>
      <c r="E1430" s="4" t="inlineStr">
        <is>
          <t>buen estado</t>
        </is>
      </c>
      <c r="F1430" s="22" t="n">
        <v>503000</v>
      </c>
      <c r="G1430" s="23" t="n">
        <v>5132.65</v>
      </c>
      <c r="H1430" s="22" t="n">
        <v>551556</v>
      </c>
      <c r="I1430" s="23" t="n">
        <v>5628.12</v>
      </c>
      <c r="J1430" s="18" t="n">
        <v>-0.08799999999999999</v>
      </c>
      <c r="K1430" s="24" t="n">
        <v>72</v>
      </c>
      <c r="L1430" s="4" t="n">
        <v>33</v>
      </c>
      <c r="M1430" s="4" t="inlineStr">
        <is>
          <t>alta</t>
        </is>
      </c>
      <c r="N1430" s="4" t="inlineStr">
        <is>
          <t>en linea con comparables</t>
        </is>
      </c>
      <c r="O1430" s="4" t="n"/>
    </row>
    <row r="1431">
      <c r="A1431" s="4" t="inlineStr">
        <is>
          <t>MD-1827</t>
        </is>
      </c>
      <c r="B1431" s="21" t="n">
        <v>46160</v>
      </c>
      <c r="C1431" s="4" t="inlineStr">
        <is>
          <t>Hortaleza</t>
        </is>
      </c>
      <c r="D1431" s="4" t="n">
        <v>91</v>
      </c>
      <c r="E1431" s="4" t="inlineStr">
        <is>
          <t>reformado</t>
        </is>
      </c>
      <c r="F1431" s="22" t="n">
        <v>598000</v>
      </c>
      <c r="G1431" s="23" t="n">
        <v>6571.43</v>
      </c>
      <c r="H1431" s="22" t="n">
        <v>472477</v>
      </c>
      <c r="I1431" s="23" t="n">
        <v>5192.06</v>
      </c>
      <c r="J1431" s="18" t="n">
        <v>0.2657</v>
      </c>
      <c r="K1431" s="24" t="n">
        <v>0</v>
      </c>
      <c r="L1431" s="4" t="n">
        <v>31</v>
      </c>
      <c r="M1431" s="4" t="inlineStr">
        <is>
          <t>alta</t>
        </is>
      </c>
      <c r="N1431" s="4" t="inlineStr">
        <is>
          <t>por encima de comparables</t>
        </is>
      </c>
      <c r="O1431" s="4" t="n"/>
    </row>
    <row r="1432">
      <c r="A1432" s="4" t="inlineStr">
        <is>
          <t>MD-1843</t>
        </is>
      </c>
      <c r="B1432" s="21" t="n">
        <v>46160</v>
      </c>
      <c r="C1432" s="4" t="inlineStr">
        <is>
          <t>Puente de Vallecas</t>
        </is>
      </c>
      <c r="D1432" s="4" t="n">
        <v>43</v>
      </c>
      <c r="E1432" s="4" t="inlineStr">
        <is>
          <t>a reformar</t>
        </is>
      </c>
      <c r="F1432" s="22" t="n">
        <v>65000</v>
      </c>
      <c r="G1432" s="23" t="n">
        <v>1511.63</v>
      </c>
      <c r="H1432" s="22" t="n">
        <v>91604</v>
      </c>
      <c r="I1432" s="23" t="n">
        <v>2130.33</v>
      </c>
      <c r="J1432" s="18" t="n">
        <v>-0.2904</v>
      </c>
      <c r="K1432" s="24" t="n">
        <v>100</v>
      </c>
      <c r="L1432" s="4" t="n">
        <v>38</v>
      </c>
      <c r="M1432" s="4" t="inlineStr">
        <is>
          <t>alta</t>
        </is>
      </c>
      <c r="N1432" s="4" t="inlineStr">
        <is>
          <t>por debajo de comparables</t>
        </is>
      </c>
      <c r="O1432" s="4" t="n"/>
    </row>
    <row r="1433">
      <c r="A1433" s="4" t="inlineStr">
        <is>
          <t>MD-0956</t>
        </is>
      </c>
      <c r="B1433" s="21" t="n">
        <v>46160</v>
      </c>
      <c r="C1433" s="4" t="inlineStr">
        <is>
          <t>Puente de Vallecas</t>
        </is>
      </c>
      <c r="D1433" s="4" t="n">
        <v>76</v>
      </c>
      <c r="E1433" s="4" t="inlineStr">
        <is>
          <t>a reformar</t>
        </is>
      </c>
      <c r="F1433" s="22" t="n">
        <v>156000</v>
      </c>
      <c r="G1433" s="23" t="n">
        <v>2052.63</v>
      </c>
      <c r="H1433" s="22" t="n">
        <v>168414</v>
      </c>
      <c r="I1433" s="23" t="n">
        <v>2215.97</v>
      </c>
      <c r="J1433" s="18" t="n">
        <v>-0.0737</v>
      </c>
      <c r="K1433" s="24" t="n">
        <v>68.40000000000001</v>
      </c>
      <c r="L1433" s="4" t="n">
        <v>44</v>
      </c>
      <c r="M1433" s="4" t="inlineStr">
        <is>
          <t>alta</t>
        </is>
      </c>
      <c r="N1433" s="4" t="inlineStr">
        <is>
          <t>en linea con comparables</t>
        </is>
      </c>
      <c r="O1433" s="4" t="n"/>
    </row>
    <row r="1434">
      <c r="A1434" s="4" t="inlineStr">
        <is>
          <t>MD-1590</t>
        </is>
      </c>
      <c r="B1434" s="21" t="n">
        <v>46161</v>
      </c>
      <c r="C1434" s="4" t="inlineStr">
        <is>
          <t>Villa de Vallecas</t>
        </is>
      </c>
      <c r="D1434" s="4" t="n">
        <v>84</v>
      </c>
      <c r="E1434" s="4" t="inlineStr">
        <is>
          <t>buen estado</t>
        </is>
      </c>
      <c r="F1434" s="22" t="n">
        <v>271000</v>
      </c>
      <c r="G1434" s="23" t="n">
        <v>3226.19</v>
      </c>
      <c r="H1434" s="22" t="n">
        <v>271693</v>
      </c>
      <c r="I1434" s="23" t="n">
        <v>3234.44</v>
      </c>
      <c r="J1434" s="18" t="n">
        <v>-0.0026</v>
      </c>
      <c r="K1434" s="24" t="n">
        <v>50.6</v>
      </c>
      <c r="L1434" s="4" t="n">
        <v>18</v>
      </c>
      <c r="M1434" s="4" t="inlineStr">
        <is>
          <t>alta</t>
        </is>
      </c>
      <c r="N1434" s="4" t="inlineStr">
        <is>
          <t>en linea con comparables</t>
        </is>
      </c>
      <c r="O1434" s="4" t="n"/>
    </row>
    <row r="1435">
      <c r="A1435" s="4" t="inlineStr">
        <is>
          <t>MD-0774</t>
        </is>
      </c>
      <c r="B1435" s="21" t="n">
        <v>46161</v>
      </c>
      <c r="C1435" s="4" t="inlineStr">
        <is>
          <t>San Blas-Canillejas</t>
        </is>
      </c>
      <c r="D1435" s="4" t="n">
        <v>72</v>
      </c>
      <c r="E1435" s="4" t="inlineStr">
        <is>
          <t>buen estado</t>
        </is>
      </c>
      <c r="F1435" s="22" t="n">
        <v>278000</v>
      </c>
      <c r="G1435" s="23" t="n">
        <v>3861.11</v>
      </c>
      <c r="H1435" s="22" t="n">
        <v>274240</v>
      </c>
      <c r="I1435" s="23" t="n">
        <v>3808.89</v>
      </c>
      <c r="J1435" s="18" t="n">
        <v>0.0137</v>
      </c>
      <c r="K1435" s="24" t="n">
        <v>46.6</v>
      </c>
      <c r="L1435" s="4" t="n">
        <v>22</v>
      </c>
      <c r="M1435" s="4" t="inlineStr">
        <is>
          <t>alta</t>
        </is>
      </c>
      <c r="N1435" s="4" t="inlineStr">
        <is>
          <t>en linea con comparables</t>
        </is>
      </c>
      <c r="O1435" s="4" t="n"/>
    </row>
    <row r="1436">
      <c r="A1436" s="4" t="inlineStr">
        <is>
          <t>MD-0418</t>
        </is>
      </c>
      <c r="B1436" s="21" t="n">
        <v>46161</v>
      </c>
      <c r="C1436" s="4" t="inlineStr">
        <is>
          <t>Latina</t>
        </is>
      </c>
      <c r="D1436" s="4" t="n">
        <v>107</v>
      </c>
      <c r="E1436" s="4" t="inlineStr">
        <is>
          <t>a reformar</t>
        </is>
      </c>
      <c r="F1436" s="22" t="n">
        <v>369000</v>
      </c>
      <c r="G1436" s="23" t="n">
        <v>3448.6</v>
      </c>
      <c r="H1436" s="22" t="n">
        <v>319467</v>
      </c>
      <c r="I1436" s="23" t="n">
        <v>2985.67</v>
      </c>
      <c r="J1436" s="18" t="n">
        <v>0.155</v>
      </c>
      <c r="K1436" s="24" t="n">
        <v>11.2</v>
      </c>
      <c r="L1436" s="4" t="n">
        <v>6</v>
      </c>
      <c r="M1436" s="4" t="inlineStr">
        <is>
          <t>baja</t>
        </is>
      </c>
      <c r="N1436" s="4" t="inlineStr">
        <is>
          <t>por encima de comparables</t>
        </is>
      </c>
      <c r="O1436" s="4" t="n"/>
    </row>
    <row r="1437">
      <c r="A1437" s="4" t="inlineStr">
        <is>
          <t>MD-1153</t>
        </is>
      </c>
      <c r="B1437" s="21" t="n">
        <v>46162</v>
      </c>
      <c r="C1437" s="4" t="inlineStr">
        <is>
          <t>Puente de Vallecas</t>
        </is>
      </c>
      <c r="D1437" s="4" t="n">
        <v>179</v>
      </c>
      <c r="E1437" s="4" t="inlineStr">
        <is>
          <t>reformado</t>
        </is>
      </c>
      <c r="F1437" s="22" t="n">
        <v>664000</v>
      </c>
      <c r="G1437" s="23" t="n">
        <v>3709.5</v>
      </c>
      <c r="H1437" s="22" t="n"/>
      <c r="I1437" s="23" t="n"/>
      <c r="J1437" s="18" t="n"/>
      <c r="K1437" s="24" t="n"/>
      <c r="L1437" s="4" t="n">
        <v>4</v>
      </c>
      <c r="M1437" s="4" t="inlineStr">
        <is>
          <t>sin muestra</t>
        </is>
      </c>
      <c r="N1437" s="4" t="inlineStr">
        <is>
          <t>no valorable</t>
        </is>
      </c>
      <c r="O1437" s="4" t="inlineStr">
        <is>
          <t>segmento con pocas operaciones comparables</t>
        </is>
      </c>
    </row>
    <row r="1438">
      <c r="A1438" s="4" t="inlineStr">
        <is>
          <t>MD-0990</t>
        </is>
      </c>
      <c r="B1438" s="21" t="n">
        <v>46162</v>
      </c>
      <c r="C1438" s="4" t="inlineStr">
        <is>
          <t>Carabanchel</t>
        </is>
      </c>
      <c r="D1438" s="4" t="n">
        <v>54</v>
      </c>
      <c r="E1438" s="4" t="inlineStr">
        <is>
          <t>buen estado</t>
        </is>
      </c>
      <c r="F1438" s="22" t="n">
        <v>159000</v>
      </c>
      <c r="G1438" s="23" t="n">
        <v>2944.44</v>
      </c>
      <c r="H1438" s="22" t="n">
        <v>179705</v>
      </c>
      <c r="I1438" s="23" t="n">
        <v>3327.88</v>
      </c>
      <c r="J1438" s="18" t="n">
        <v>-0.1152</v>
      </c>
      <c r="K1438" s="24" t="n">
        <v>78.8</v>
      </c>
      <c r="L1438" s="4" t="n">
        <v>37</v>
      </c>
      <c r="M1438" s="4" t="inlineStr">
        <is>
          <t>alta</t>
        </is>
      </c>
      <c r="N1438" s="4" t="inlineStr">
        <is>
          <t>por debajo de comparables</t>
        </is>
      </c>
      <c r="O1438" s="4" t="n"/>
    </row>
    <row r="1439">
      <c r="A1439" s="4" t="inlineStr">
        <is>
          <t>MD-1320</t>
        </is>
      </c>
      <c r="B1439" s="21" t="n">
        <v>46162</v>
      </c>
      <c r="C1439" s="4" t="inlineStr">
        <is>
          <t>Arganzuela</t>
        </is>
      </c>
      <c r="D1439" s="4" t="n">
        <v>76</v>
      </c>
      <c r="E1439" s="4" t="inlineStr">
        <is>
          <t>a reformar</t>
        </is>
      </c>
      <c r="F1439" s="22" t="n">
        <v>385000</v>
      </c>
      <c r="G1439" s="23" t="n">
        <v>5065.79</v>
      </c>
      <c r="H1439" s="22" t="n">
        <v>412078</v>
      </c>
      <c r="I1439" s="23" t="n">
        <v>5422.08</v>
      </c>
      <c r="J1439" s="18" t="n">
        <v>-0.06569999999999999</v>
      </c>
      <c r="K1439" s="24" t="n">
        <v>66.40000000000001</v>
      </c>
      <c r="L1439" s="4" t="n">
        <v>26</v>
      </c>
      <c r="M1439" s="4" t="inlineStr">
        <is>
          <t>alta</t>
        </is>
      </c>
      <c r="N1439" s="4" t="inlineStr">
        <is>
          <t>en linea con comparables</t>
        </is>
      </c>
      <c r="O1439" s="4" t="n"/>
    </row>
    <row r="1440">
      <c r="A1440" s="4" t="inlineStr">
        <is>
          <t>MD-0502</t>
        </is>
      </c>
      <c r="B1440" s="21" t="n">
        <v>46162</v>
      </c>
      <c r="C1440" s="4" t="inlineStr">
        <is>
          <t>Tetuan</t>
        </is>
      </c>
      <c r="D1440" s="4" t="n">
        <v>92</v>
      </c>
      <c r="E1440" s="4" t="inlineStr">
        <is>
          <t>reformado</t>
        </is>
      </c>
      <c r="F1440" s="22" t="n">
        <v>423000</v>
      </c>
      <c r="G1440" s="23" t="n">
        <v>4597.83</v>
      </c>
      <c r="H1440" s="22" t="n">
        <v>535013</v>
      </c>
      <c r="I1440" s="23" t="n">
        <v>5815.36</v>
      </c>
      <c r="J1440" s="18" t="n">
        <v>-0.2094</v>
      </c>
      <c r="K1440" s="24" t="n">
        <v>100</v>
      </c>
      <c r="L1440" s="4" t="n">
        <v>22</v>
      </c>
      <c r="M1440" s="4" t="inlineStr">
        <is>
          <t>media</t>
        </is>
      </c>
      <c r="N1440" s="4" t="inlineStr">
        <is>
          <t>por debajo de comparables</t>
        </is>
      </c>
      <c r="O1440" s="4" t="n"/>
    </row>
    <row r="1441">
      <c r="A1441" s="4" t="inlineStr">
        <is>
          <t>MD-0439</t>
        </is>
      </c>
      <c r="B1441" s="21" t="n">
        <v>46162</v>
      </c>
      <c r="C1441" s="4" t="inlineStr">
        <is>
          <t>Carabanchel</t>
        </is>
      </c>
      <c r="D1441" s="4" t="n">
        <v>43</v>
      </c>
      <c r="E1441" s="4" t="inlineStr">
        <is>
          <t>reformado</t>
        </is>
      </c>
      <c r="F1441" s="22" t="n">
        <v>160000</v>
      </c>
      <c r="G1441" s="23" t="n">
        <v>3720.93</v>
      </c>
      <c r="H1441" s="22" t="n">
        <v>158794</v>
      </c>
      <c r="I1441" s="23" t="n">
        <v>3692.89</v>
      </c>
      <c r="J1441" s="18" t="n">
        <v>0.0076</v>
      </c>
      <c r="K1441" s="24" t="n">
        <v>48.1</v>
      </c>
      <c r="L1441" s="4" t="n">
        <v>21</v>
      </c>
      <c r="M1441" s="4" t="inlineStr">
        <is>
          <t>alta</t>
        </is>
      </c>
      <c r="N1441" s="4" t="inlineStr">
        <is>
          <t>en linea con comparables</t>
        </is>
      </c>
      <c r="O1441" s="4" t="n"/>
    </row>
    <row r="1442">
      <c r="A1442" s="4" t="inlineStr">
        <is>
          <t>MD-0521</t>
        </is>
      </c>
      <c r="B1442" s="21" t="n">
        <v>46162</v>
      </c>
      <c r="C1442" s="4" t="inlineStr">
        <is>
          <t>Hortaleza</t>
        </is>
      </c>
      <c r="D1442" s="4" t="n">
        <v>119</v>
      </c>
      <c r="E1442" s="4" t="inlineStr">
        <is>
          <t>a reformar</t>
        </is>
      </c>
      <c r="F1442" s="22" t="n">
        <v>587000</v>
      </c>
      <c r="G1442" s="23" t="n">
        <v>4932.77</v>
      </c>
      <c r="H1442" s="22" t="n">
        <v>553488</v>
      </c>
      <c r="I1442" s="23" t="n">
        <v>4651.16</v>
      </c>
      <c r="J1442" s="18" t="n">
        <v>0.0605</v>
      </c>
      <c r="K1442" s="24" t="n">
        <v>34.9</v>
      </c>
      <c r="L1442" s="4" t="n">
        <v>27</v>
      </c>
      <c r="M1442" s="4" t="inlineStr">
        <is>
          <t>alta</t>
        </is>
      </c>
      <c r="N1442" s="4" t="inlineStr">
        <is>
          <t>en linea con comparables</t>
        </is>
      </c>
      <c r="O1442" s="4" t="n"/>
    </row>
    <row r="1443">
      <c r="A1443" s="4" t="inlineStr">
        <is>
          <t>MD-0949</t>
        </is>
      </c>
      <c r="B1443" s="21" t="n">
        <v>46162</v>
      </c>
      <c r="C1443" s="4" t="inlineStr">
        <is>
          <t>Centro</t>
        </is>
      </c>
      <c r="D1443" s="4" t="n">
        <v>140</v>
      </c>
      <c r="E1443" s="4" t="inlineStr">
        <is>
          <t>reformado</t>
        </is>
      </c>
      <c r="F1443" s="22" t="n">
        <v>1054000</v>
      </c>
      <c r="G1443" s="23" t="n">
        <v>7528.57</v>
      </c>
      <c r="H1443" s="22" t="n">
        <v>1053480</v>
      </c>
      <c r="I1443" s="23" t="n">
        <v>7524.85</v>
      </c>
      <c r="J1443" s="18" t="n">
        <v>0.0005</v>
      </c>
      <c r="K1443" s="24" t="n">
        <v>49.9</v>
      </c>
      <c r="L1443" s="4" t="n">
        <v>10</v>
      </c>
      <c r="M1443" s="4" t="inlineStr">
        <is>
          <t>media</t>
        </is>
      </c>
      <c r="N1443" s="4" t="inlineStr">
        <is>
          <t>en linea con comparables</t>
        </is>
      </c>
      <c r="O1443" s="4" t="n"/>
    </row>
    <row r="1444">
      <c r="A1444" s="4" t="inlineStr">
        <is>
          <t>MD-0757</t>
        </is>
      </c>
      <c r="B1444" s="21" t="n">
        <v>46162</v>
      </c>
      <c r="C1444" s="4" t="inlineStr">
        <is>
          <t>Ciudad Lineal</t>
        </is>
      </c>
      <c r="D1444" s="4" t="n">
        <v>44</v>
      </c>
      <c r="E1444" s="4" t="inlineStr">
        <is>
          <t>reformado</t>
        </is>
      </c>
      <c r="F1444" s="22" t="n">
        <v>203000</v>
      </c>
      <c r="G1444" s="23" t="n">
        <v>4613.64</v>
      </c>
      <c r="H1444" s="22" t="n">
        <v>240335</v>
      </c>
      <c r="I1444" s="23" t="n">
        <v>5462.16</v>
      </c>
      <c r="J1444" s="18" t="n">
        <v>-0.1553</v>
      </c>
      <c r="K1444" s="24" t="n">
        <v>88.8</v>
      </c>
      <c r="L1444" s="4" t="n">
        <v>27</v>
      </c>
      <c r="M1444" s="4" t="inlineStr">
        <is>
          <t>media</t>
        </is>
      </c>
      <c r="N1444" s="4" t="inlineStr">
        <is>
          <t>por debajo de comparables</t>
        </is>
      </c>
      <c r="O1444" s="4" t="n"/>
    </row>
    <row r="1445">
      <c r="A1445" s="4" t="inlineStr">
        <is>
          <t>MD-0295</t>
        </is>
      </c>
      <c r="B1445" s="21" t="n">
        <v>46162</v>
      </c>
      <c r="C1445" s="4" t="inlineStr">
        <is>
          <t>Fuencarral-El Pardo</t>
        </is>
      </c>
      <c r="D1445" s="4" t="n">
        <v>103</v>
      </c>
      <c r="E1445" s="4" t="inlineStr">
        <is>
          <t>reformado</t>
        </is>
      </c>
      <c r="F1445" s="22" t="n">
        <v>531000</v>
      </c>
      <c r="G1445" s="23" t="n">
        <v>5155.34</v>
      </c>
      <c r="H1445" s="22" t="n">
        <v>508545</v>
      </c>
      <c r="I1445" s="23" t="n">
        <v>4937.33</v>
      </c>
      <c r="J1445" s="18" t="n">
        <v>0.0442</v>
      </c>
      <c r="K1445" s="24" t="n">
        <v>39</v>
      </c>
      <c r="L1445" s="4" t="n">
        <v>35</v>
      </c>
      <c r="M1445" s="4" t="inlineStr">
        <is>
          <t>alta</t>
        </is>
      </c>
      <c r="N1445" s="4" t="inlineStr">
        <is>
          <t>en linea con comparables</t>
        </is>
      </c>
      <c r="O1445" s="4" t="n"/>
    </row>
    <row r="1446">
      <c r="A1446" s="4" t="inlineStr">
        <is>
          <t>MD-1973</t>
        </is>
      </c>
      <c r="B1446" s="21" t="n">
        <v>46163</v>
      </c>
      <c r="C1446" s="4" t="inlineStr">
        <is>
          <t>San Blas-Canillejas</t>
        </is>
      </c>
      <c r="D1446" s="4" t="n">
        <v>83</v>
      </c>
      <c r="E1446" s="4" t="inlineStr">
        <is>
          <t>reformado</t>
        </is>
      </c>
      <c r="F1446" s="22" t="n">
        <v>349000</v>
      </c>
      <c r="G1446" s="23" t="n">
        <v>4204.82</v>
      </c>
      <c r="H1446" s="22" t="n">
        <v>358278</v>
      </c>
      <c r="I1446" s="23" t="n">
        <v>4316.6</v>
      </c>
      <c r="J1446" s="18" t="n">
        <v>-0.0259</v>
      </c>
      <c r="K1446" s="24" t="n">
        <v>56.5</v>
      </c>
      <c r="L1446" s="4" t="n">
        <v>21</v>
      </c>
      <c r="M1446" s="4" t="inlineStr">
        <is>
          <t>media</t>
        </is>
      </c>
      <c r="N1446" s="4" t="inlineStr">
        <is>
          <t>en linea con comparables</t>
        </is>
      </c>
      <c r="O1446" s="4" t="n"/>
    </row>
    <row r="1447">
      <c r="A1447" s="4" t="inlineStr">
        <is>
          <t>MD-0984</t>
        </is>
      </c>
      <c r="B1447" s="21" t="n">
        <v>46163</v>
      </c>
      <c r="C1447" s="4" t="inlineStr">
        <is>
          <t>Fuencarral-El Pardo</t>
        </is>
      </c>
      <c r="D1447" s="4" t="n">
        <v>66</v>
      </c>
      <c r="E1447" s="4" t="inlineStr">
        <is>
          <t>obra nueva</t>
        </is>
      </c>
      <c r="F1447" s="22" t="n">
        <v>364000</v>
      </c>
      <c r="G1447" s="23" t="n">
        <v>5515.15</v>
      </c>
      <c r="H1447" s="22" t="n">
        <v>428334</v>
      </c>
      <c r="I1447" s="23" t="n">
        <v>6489.9</v>
      </c>
      <c r="J1447" s="18" t="n">
        <v>-0.1502</v>
      </c>
      <c r="K1447" s="24" t="n">
        <v>87.5</v>
      </c>
      <c r="L1447" s="4" t="n">
        <v>19</v>
      </c>
      <c r="M1447" s="4" t="inlineStr">
        <is>
          <t>media</t>
        </is>
      </c>
      <c r="N1447" s="4" t="inlineStr">
        <is>
          <t>por debajo de comparables</t>
        </is>
      </c>
      <c r="O1447" s="4" t="n"/>
    </row>
    <row r="1448">
      <c r="A1448" s="4" t="inlineStr">
        <is>
          <t>MD-0871</t>
        </is>
      </c>
      <c r="B1448" s="21" t="n">
        <v>46163</v>
      </c>
      <c r="C1448" s="4" t="inlineStr">
        <is>
          <t>Latina</t>
        </is>
      </c>
      <c r="D1448" s="4" t="n">
        <v>48</v>
      </c>
      <c r="E1448" s="4" t="inlineStr">
        <is>
          <t>buen estado</t>
        </is>
      </c>
      <c r="F1448" s="22" t="n">
        <v>194000</v>
      </c>
      <c r="G1448" s="23" t="n">
        <v>4041.67</v>
      </c>
      <c r="H1448" s="22" t="n">
        <v>169883</v>
      </c>
      <c r="I1448" s="23" t="n">
        <v>3539.22</v>
      </c>
      <c r="J1448" s="18" t="n">
        <v>0.142</v>
      </c>
      <c r="K1448" s="24" t="n">
        <v>14.5</v>
      </c>
      <c r="L1448" s="4" t="n">
        <v>34</v>
      </c>
      <c r="M1448" s="4" t="inlineStr">
        <is>
          <t>alta</t>
        </is>
      </c>
      <c r="N1448" s="4" t="inlineStr">
        <is>
          <t>por encima de comparables</t>
        </is>
      </c>
      <c r="O1448" s="4" t="n"/>
    </row>
    <row r="1449">
      <c r="A1449" s="4" t="inlineStr">
        <is>
          <t>MD-0167</t>
        </is>
      </c>
      <c r="B1449" s="21" t="n">
        <v>46163</v>
      </c>
      <c r="C1449" s="4" t="inlineStr">
        <is>
          <t>Puente de Vallecas</t>
        </is>
      </c>
      <c r="D1449" s="4" t="n">
        <v>56</v>
      </c>
      <c r="E1449" s="4" t="inlineStr">
        <is>
          <t>a reformar</t>
        </is>
      </c>
      <c r="F1449" s="22" t="n">
        <v>125000</v>
      </c>
      <c r="G1449" s="23" t="n">
        <v>2232.14</v>
      </c>
      <c r="H1449" s="22" t="n">
        <v>121168</v>
      </c>
      <c r="I1449" s="23" t="n">
        <v>2163.72</v>
      </c>
      <c r="J1449" s="18" t="n">
        <v>0.0316</v>
      </c>
      <c r="K1449" s="24" t="n">
        <v>42.1</v>
      </c>
      <c r="L1449" s="4" t="n">
        <v>41</v>
      </c>
      <c r="M1449" s="4" t="inlineStr">
        <is>
          <t>alta</t>
        </is>
      </c>
      <c r="N1449" s="4" t="inlineStr">
        <is>
          <t>en linea con comparables</t>
        </is>
      </c>
      <c r="O1449" s="4" t="n"/>
    </row>
    <row r="1450">
      <c r="A1450" s="4" t="inlineStr">
        <is>
          <t>MD-1798</t>
        </is>
      </c>
      <c r="B1450" s="21" t="n">
        <v>46163</v>
      </c>
      <c r="C1450" s="4" t="inlineStr">
        <is>
          <t>Hortaleza</t>
        </is>
      </c>
      <c r="D1450" s="4" t="n">
        <v>78</v>
      </c>
      <c r="E1450" s="4" t="inlineStr">
        <is>
          <t>buen estado</t>
        </is>
      </c>
      <c r="F1450" s="22" t="n">
        <v>514000</v>
      </c>
      <c r="G1450" s="23" t="n">
        <v>6589.74</v>
      </c>
      <c r="H1450" s="22" t="n">
        <v>425486</v>
      </c>
      <c r="I1450" s="23" t="n">
        <v>5454.95</v>
      </c>
      <c r="J1450" s="18" t="n">
        <v>0.208</v>
      </c>
      <c r="K1450" s="24" t="n">
        <v>0</v>
      </c>
      <c r="L1450" s="4" t="n">
        <v>30</v>
      </c>
      <c r="M1450" s="4" t="inlineStr">
        <is>
          <t>media</t>
        </is>
      </c>
      <c r="N1450" s="4" t="inlineStr">
        <is>
          <t>por encima de comparables</t>
        </is>
      </c>
      <c r="O1450" s="4" t="n"/>
    </row>
    <row r="1451">
      <c r="A1451" s="4" t="inlineStr">
        <is>
          <t>MD-1918</t>
        </is>
      </c>
      <c r="B1451" s="21" t="n">
        <v>46163</v>
      </c>
      <c r="C1451" s="4" t="inlineStr">
        <is>
          <t>Chamartin</t>
        </is>
      </c>
      <c r="D1451" s="4" t="n">
        <v>172</v>
      </c>
      <c r="E1451" s="4" t="inlineStr">
        <is>
          <t>a reformar</t>
        </is>
      </c>
      <c r="F1451" s="22" t="n">
        <v>1251000</v>
      </c>
      <c r="G1451" s="23" t="n">
        <v>7273.26</v>
      </c>
      <c r="H1451" s="22" t="n">
        <v>1073479</v>
      </c>
      <c r="I1451" s="23" t="n">
        <v>6241.16</v>
      </c>
      <c r="J1451" s="18" t="n">
        <v>0.1654</v>
      </c>
      <c r="K1451" s="24" t="n">
        <v>8.699999999999999</v>
      </c>
      <c r="L1451" s="4" t="n">
        <v>19</v>
      </c>
      <c r="M1451" s="4" t="inlineStr">
        <is>
          <t>media</t>
        </is>
      </c>
      <c r="N1451" s="4" t="inlineStr">
        <is>
          <t>por encima de comparables</t>
        </is>
      </c>
      <c r="O1451" s="4" t="n"/>
    </row>
    <row r="1452">
      <c r="A1452" s="4" t="inlineStr">
        <is>
          <t>MD-1982</t>
        </is>
      </c>
      <c r="B1452" s="21" t="n">
        <v>46163</v>
      </c>
      <c r="C1452" s="4" t="inlineStr">
        <is>
          <t>Carabanchel</t>
        </is>
      </c>
      <c r="D1452" s="4" t="n">
        <v>76</v>
      </c>
      <c r="E1452" s="4" t="inlineStr">
        <is>
          <t>obra nueva</t>
        </is>
      </c>
      <c r="F1452" s="22" t="n">
        <v>317000</v>
      </c>
      <c r="G1452" s="23" t="n">
        <v>4171.05</v>
      </c>
      <c r="H1452" s="22" t="n">
        <v>291876</v>
      </c>
      <c r="I1452" s="23" t="n">
        <v>3840.47</v>
      </c>
      <c r="J1452" s="18" t="n">
        <v>0.0861</v>
      </c>
      <c r="K1452" s="24" t="n">
        <v>28.5</v>
      </c>
      <c r="L1452" s="4" t="n">
        <v>42</v>
      </c>
      <c r="M1452" s="4" t="inlineStr">
        <is>
          <t>media</t>
        </is>
      </c>
      <c r="N1452" s="4" t="inlineStr">
        <is>
          <t>en linea con comparables</t>
        </is>
      </c>
      <c r="O1452" s="4" t="n"/>
    </row>
    <row r="1453">
      <c r="A1453" s="4" t="inlineStr">
        <is>
          <t>MD-0228</t>
        </is>
      </c>
      <c r="B1453" s="21" t="n">
        <v>46163</v>
      </c>
      <c r="C1453" s="4" t="inlineStr">
        <is>
          <t>Carabanchel</t>
        </is>
      </c>
      <c r="D1453" s="4" t="n">
        <v>62</v>
      </c>
      <c r="E1453" s="4" t="inlineStr">
        <is>
          <t>reformado</t>
        </is>
      </c>
      <c r="F1453" s="22" t="n">
        <v>238000</v>
      </c>
      <c r="G1453" s="23" t="n">
        <v>3838.71</v>
      </c>
      <c r="H1453" s="22" t="n">
        <v>230330</v>
      </c>
      <c r="I1453" s="23" t="n">
        <v>3715</v>
      </c>
      <c r="J1453" s="18" t="n">
        <v>0.0333</v>
      </c>
      <c r="K1453" s="24" t="n">
        <v>41.7</v>
      </c>
      <c r="L1453" s="4" t="n">
        <v>44</v>
      </c>
      <c r="M1453" s="4" t="inlineStr">
        <is>
          <t>alta</t>
        </is>
      </c>
      <c r="N1453" s="4" t="inlineStr">
        <is>
          <t>en linea con comparables</t>
        </is>
      </c>
      <c r="O1453" s="4" t="n"/>
    </row>
    <row r="1454">
      <c r="A1454" s="4" t="inlineStr">
        <is>
          <t>MD-0316</t>
        </is>
      </c>
      <c r="B1454" s="21" t="n">
        <v>46164</v>
      </c>
      <c r="C1454" s="4" t="inlineStr">
        <is>
          <t>Hortaleza</t>
        </is>
      </c>
      <c r="D1454" s="4" t="n">
        <v>181</v>
      </c>
      <c r="E1454" s="4" t="inlineStr">
        <is>
          <t>a reformar</t>
        </is>
      </c>
      <c r="F1454" s="22" t="n">
        <v>939000</v>
      </c>
      <c r="G1454" s="23" t="n">
        <v>5187.85</v>
      </c>
      <c r="H1454" s="22" t="n">
        <v>693007</v>
      </c>
      <c r="I1454" s="23" t="n">
        <v>3828.77</v>
      </c>
      <c r="J1454" s="18" t="n">
        <v>0.355</v>
      </c>
      <c r="K1454" s="24" t="n">
        <v>0</v>
      </c>
      <c r="L1454" s="4" t="n">
        <v>29</v>
      </c>
      <c r="M1454" s="4" t="inlineStr">
        <is>
          <t>media</t>
        </is>
      </c>
      <c r="N1454" s="4" t="inlineStr">
        <is>
          <t>por encima de comparables</t>
        </is>
      </c>
      <c r="O1454" s="4" t="n"/>
    </row>
    <row r="1455">
      <c r="A1455" s="4" t="inlineStr">
        <is>
          <t>MD-0143</t>
        </is>
      </c>
      <c r="B1455" s="21" t="n">
        <v>46164</v>
      </c>
      <c r="C1455" s="4" t="inlineStr">
        <is>
          <t>Moratalaz</t>
        </is>
      </c>
      <c r="D1455" s="4" t="n">
        <v>90</v>
      </c>
      <c r="E1455" s="4" t="inlineStr">
        <is>
          <t>buen estado</t>
        </is>
      </c>
      <c r="F1455" s="22" t="n">
        <v>333000</v>
      </c>
      <c r="G1455" s="23" t="n">
        <v>3700</v>
      </c>
      <c r="H1455" s="22" t="n">
        <v>361267</v>
      </c>
      <c r="I1455" s="23" t="n">
        <v>4014.08</v>
      </c>
      <c r="J1455" s="18" t="n">
        <v>-0.07820000000000001</v>
      </c>
      <c r="K1455" s="24" t="n">
        <v>69.59999999999999</v>
      </c>
      <c r="L1455" s="4" t="n">
        <v>17</v>
      </c>
      <c r="M1455" s="4" t="inlineStr">
        <is>
          <t>alta</t>
        </is>
      </c>
      <c r="N1455" s="4" t="inlineStr">
        <is>
          <t>en linea con comparables</t>
        </is>
      </c>
      <c r="O1455" s="4" t="n"/>
    </row>
    <row r="1456">
      <c r="A1456" s="4" t="inlineStr">
        <is>
          <t>MD-0361</t>
        </is>
      </c>
      <c r="B1456" s="21" t="n">
        <v>46164</v>
      </c>
      <c r="C1456" s="4" t="inlineStr">
        <is>
          <t>Tetuan</t>
        </is>
      </c>
      <c r="D1456" s="4" t="n">
        <v>80</v>
      </c>
      <c r="E1456" s="4" t="inlineStr">
        <is>
          <t>buen estado</t>
        </is>
      </c>
      <c r="F1456" s="22" t="n">
        <v>395000</v>
      </c>
      <c r="G1456" s="23" t="n">
        <v>4937.5</v>
      </c>
      <c r="H1456" s="22" t="n">
        <v>366685</v>
      </c>
      <c r="I1456" s="23" t="n">
        <v>4583.57</v>
      </c>
      <c r="J1456" s="18" t="n">
        <v>0.0772</v>
      </c>
      <c r="K1456" s="24" t="n">
        <v>30.7</v>
      </c>
      <c r="L1456" s="4" t="n">
        <v>28</v>
      </c>
      <c r="M1456" s="4" t="inlineStr">
        <is>
          <t>media</t>
        </is>
      </c>
      <c r="N1456" s="4" t="inlineStr">
        <is>
          <t>en linea con comparables</t>
        </is>
      </c>
      <c r="O1456" s="4" t="n"/>
    </row>
    <row r="1457">
      <c r="A1457" s="4" t="inlineStr">
        <is>
          <t>MD-0841</t>
        </is>
      </c>
      <c r="B1457" s="21" t="n">
        <v>46164</v>
      </c>
      <c r="C1457" s="4" t="inlineStr">
        <is>
          <t>Fuencarral-El Pardo</t>
        </is>
      </c>
      <c r="D1457" s="4" t="n">
        <v>45</v>
      </c>
      <c r="E1457" s="4" t="inlineStr">
        <is>
          <t>buen estado</t>
        </is>
      </c>
      <c r="F1457" s="22" t="n">
        <v>225000</v>
      </c>
      <c r="G1457" s="23" t="n">
        <v>5000</v>
      </c>
      <c r="H1457" s="22" t="n">
        <v>225623</v>
      </c>
      <c r="I1457" s="23" t="n">
        <v>5013.84</v>
      </c>
      <c r="J1457" s="18" t="n">
        <v>-0.0028</v>
      </c>
      <c r="K1457" s="24" t="n">
        <v>50.7</v>
      </c>
      <c r="L1457" s="4" t="n">
        <v>14</v>
      </c>
      <c r="M1457" s="4" t="inlineStr">
        <is>
          <t>media</t>
        </is>
      </c>
      <c r="N1457" s="4" t="inlineStr">
        <is>
          <t>en linea con comparables</t>
        </is>
      </c>
      <c r="O1457" s="4" t="n"/>
    </row>
    <row r="1458">
      <c r="A1458" s="4" t="inlineStr">
        <is>
          <t>MD-0118</t>
        </is>
      </c>
      <c r="B1458" s="21" t="n">
        <v>46164</v>
      </c>
      <c r="C1458" s="4" t="inlineStr">
        <is>
          <t>Retiro</t>
        </is>
      </c>
      <c r="D1458" s="4" t="n">
        <v>46</v>
      </c>
      <c r="E1458" s="4" t="inlineStr">
        <is>
          <t>buen estado</t>
        </is>
      </c>
      <c r="F1458" s="22" t="n">
        <v>377000</v>
      </c>
      <c r="G1458" s="23" t="n">
        <v>8195.65</v>
      </c>
      <c r="H1458" s="22" t="n">
        <v>321782</v>
      </c>
      <c r="I1458" s="23" t="n">
        <v>6995.26</v>
      </c>
      <c r="J1458" s="18" t="n">
        <v>0.1716</v>
      </c>
      <c r="K1458" s="24" t="n">
        <v>7.1</v>
      </c>
      <c r="L1458" s="4" t="n">
        <v>12</v>
      </c>
      <c r="M1458" s="4" t="inlineStr">
        <is>
          <t>media</t>
        </is>
      </c>
      <c r="N1458" s="4" t="inlineStr">
        <is>
          <t>por encima de comparables</t>
        </is>
      </c>
      <c r="O1458" s="4" t="n"/>
    </row>
    <row r="1459">
      <c r="A1459" s="4" t="inlineStr">
        <is>
          <t>MD-0787</t>
        </is>
      </c>
      <c r="B1459" s="21" t="n">
        <v>46165</v>
      </c>
      <c r="C1459" s="4" t="inlineStr">
        <is>
          <t>Barajas</t>
        </is>
      </c>
      <c r="D1459" s="4" t="n">
        <v>31</v>
      </c>
      <c r="E1459" s="4" t="inlineStr">
        <is>
          <t>reformado</t>
        </is>
      </c>
      <c r="F1459" s="22" t="n">
        <v>182000</v>
      </c>
      <c r="G1459" s="23" t="n">
        <v>5870.97</v>
      </c>
      <c r="H1459" s="22" t="n"/>
      <c r="I1459" s="23" t="n"/>
      <c r="J1459" s="18" t="n"/>
      <c r="K1459" s="24" t="n"/>
      <c r="L1459" s="4" t="n">
        <v>0</v>
      </c>
      <c r="M1459" s="4" t="inlineStr">
        <is>
          <t>sin muestra</t>
        </is>
      </c>
      <c r="N1459" s="4" t="inlineStr">
        <is>
          <t>no valorable</t>
        </is>
      </c>
      <c r="O1459" s="4" t="inlineStr">
        <is>
          <t>segmento con pocas operaciones comparables</t>
        </is>
      </c>
    </row>
    <row r="1460">
      <c r="A1460" s="4" t="inlineStr">
        <is>
          <t>MD-1362</t>
        </is>
      </c>
      <c r="B1460" s="21" t="n">
        <v>46165</v>
      </c>
      <c r="C1460" s="4" t="inlineStr">
        <is>
          <t>Tetuan</t>
        </is>
      </c>
      <c r="D1460" s="4" t="n">
        <v>71</v>
      </c>
      <c r="E1460" s="4" t="inlineStr">
        <is>
          <t>buen estado</t>
        </is>
      </c>
      <c r="F1460" s="22" t="n">
        <v>327000</v>
      </c>
      <c r="G1460" s="23" t="n">
        <v>4605.63</v>
      </c>
      <c r="H1460" s="22" t="n">
        <v>377138</v>
      </c>
      <c r="I1460" s="23" t="n">
        <v>5311.8</v>
      </c>
      <c r="J1460" s="18" t="n">
        <v>-0.1329</v>
      </c>
      <c r="K1460" s="24" t="n">
        <v>83.2</v>
      </c>
      <c r="L1460" s="4" t="n">
        <v>31</v>
      </c>
      <c r="M1460" s="4" t="inlineStr">
        <is>
          <t>media</t>
        </is>
      </c>
      <c r="N1460" s="4" t="inlineStr">
        <is>
          <t>por debajo de comparables</t>
        </is>
      </c>
      <c r="O1460" s="4" t="n"/>
    </row>
    <row r="1461">
      <c r="A1461" s="4" t="inlineStr">
        <is>
          <t>MD-0704</t>
        </is>
      </c>
      <c r="B1461" s="21" t="n">
        <v>46165</v>
      </c>
      <c r="C1461" s="4" t="inlineStr">
        <is>
          <t>Carabanchel</t>
        </is>
      </c>
      <c r="D1461" s="4" t="n">
        <v>54</v>
      </c>
      <c r="E1461" s="4" t="inlineStr">
        <is>
          <t>buen estado</t>
        </is>
      </c>
      <c r="F1461" s="22" t="n">
        <v>195000</v>
      </c>
      <c r="G1461" s="23" t="n">
        <v>3611.11</v>
      </c>
      <c r="H1461" s="22" t="n">
        <v>159495</v>
      </c>
      <c r="I1461" s="23" t="n">
        <v>2953.61</v>
      </c>
      <c r="J1461" s="18" t="n">
        <v>0.2226</v>
      </c>
      <c r="K1461" s="24" t="n">
        <v>0</v>
      </c>
      <c r="L1461" s="4" t="n">
        <v>39</v>
      </c>
      <c r="M1461" s="4" t="inlineStr">
        <is>
          <t>alta</t>
        </is>
      </c>
      <c r="N1461" s="4" t="inlineStr">
        <is>
          <t>por encima de comparables</t>
        </is>
      </c>
      <c r="O1461" s="4" t="n"/>
    </row>
    <row r="1462">
      <c r="A1462" s="4" t="inlineStr">
        <is>
          <t>MD-1268</t>
        </is>
      </c>
      <c r="B1462" s="21" t="n">
        <v>46165</v>
      </c>
      <c r="C1462" s="4" t="inlineStr">
        <is>
          <t>Latina</t>
        </is>
      </c>
      <c r="D1462" s="4" t="n">
        <v>147</v>
      </c>
      <c r="E1462" s="4" t="inlineStr">
        <is>
          <t>reformado</t>
        </is>
      </c>
      <c r="F1462" s="22" t="n">
        <v>424000</v>
      </c>
      <c r="G1462" s="23" t="n">
        <v>2884.35</v>
      </c>
      <c r="H1462" s="22" t="n"/>
      <c r="I1462" s="23" t="n"/>
      <c r="J1462" s="18" t="n"/>
      <c r="K1462" s="24" t="n"/>
      <c r="L1462" s="4" t="n">
        <v>1</v>
      </c>
      <c r="M1462" s="4" t="inlineStr">
        <is>
          <t>sin muestra</t>
        </is>
      </c>
      <c r="N1462" s="4" t="inlineStr">
        <is>
          <t>no valorable</t>
        </is>
      </c>
      <c r="O1462" s="4" t="inlineStr">
        <is>
          <t>segmento con pocas operaciones comparables</t>
        </is>
      </c>
    </row>
    <row r="1463">
      <c r="A1463" s="4" t="inlineStr">
        <is>
          <t>MD-1325</t>
        </is>
      </c>
      <c r="B1463" s="21" t="n">
        <v>46165</v>
      </c>
      <c r="C1463" s="4" t="inlineStr">
        <is>
          <t>Fuencarral-El Pardo</t>
        </is>
      </c>
      <c r="D1463" s="4" t="n">
        <v>98</v>
      </c>
      <c r="E1463" s="4" t="inlineStr">
        <is>
          <t>a reformar</t>
        </is>
      </c>
      <c r="F1463" s="22" t="n">
        <v>316000</v>
      </c>
      <c r="G1463" s="23" t="n">
        <v>3224.49</v>
      </c>
      <c r="H1463" s="22" t="n">
        <v>419272</v>
      </c>
      <c r="I1463" s="23" t="n">
        <v>4278.28</v>
      </c>
      <c r="J1463" s="18" t="n">
        <v>-0.2463</v>
      </c>
      <c r="K1463" s="24" t="n">
        <v>100</v>
      </c>
      <c r="L1463" s="4" t="n">
        <v>36</v>
      </c>
      <c r="M1463" s="4" t="inlineStr">
        <is>
          <t>alta</t>
        </is>
      </c>
      <c r="N1463" s="4" t="inlineStr">
        <is>
          <t>por debajo de comparables</t>
        </is>
      </c>
      <c r="O1463" s="4" t="n"/>
    </row>
    <row r="1464">
      <c r="A1464" s="4" t="inlineStr">
        <is>
          <t>MD-1608</t>
        </is>
      </c>
      <c r="B1464" s="21" t="n">
        <v>46165</v>
      </c>
      <c r="C1464" s="4" t="inlineStr">
        <is>
          <t>Puente de Vallecas</t>
        </is>
      </c>
      <c r="D1464" s="4" t="n">
        <v>39</v>
      </c>
      <c r="E1464" s="4" t="inlineStr">
        <is>
          <t>obra nueva</t>
        </is>
      </c>
      <c r="F1464" s="22" t="n">
        <v>128000</v>
      </c>
      <c r="G1464" s="23" t="n">
        <v>3282.05</v>
      </c>
      <c r="H1464" s="22" t="n">
        <v>127650</v>
      </c>
      <c r="I1464" s="23" t="n">
        <v>3273.08</v>
      </c>
      <c r="J1464" s="18" t="n">
        <v>0.0027</v>
      </c>
      <c r="K1464" s="24" t="n">
        <v>49.3</v>
      </c>
      <c r="L1464" s="4" t="n">
        <v>33</v>
      </c>
      <c r="M1464" s="4" t="inlineStr">
        <is>
          <t>alta</t>
        </is>
      </c>
      <c r="N1464" s="4" t="inlineStr">
        <is>
          <t>en linea con comparables</t>
        </is>
      </c>
      <c r="O1464" s="4" t="n"/>
    </row>
    <row r="1465">
      <c r="A1465" s="4" t="inlineStr">
        <is>
          <t>MD-1957</t>
        </is>
      </c>
      <c r="B1465" s="21" t="n">
        <v>46165</v>
      </c>
      <c r="C1465" s="4" t="inlineStr">
        <is>
          <t>Salamanca</t>
        </is>
      </c>
      <c r="D1465" s="4" t="n">
        <v>158</v>
      </c>
      <c r="E1465" s="4" t="inlineStr">
        <is>
          <t>reformado</t>
        </is>
      </c>
      <c r="F1465" s="22" t="n">
        <v>1407000</v>
      </c>
      <c r="G1465" s="23" t="n">
        <v>8905.059999999999</v>
      </c>
      <c r="H1465" s="22" t="n">
        <v>1627540</v>
      </c>
      <c r="I1465" s="23" t="n">
        <v>10300.88</v>
      </c>
      <c r="J1465" s="18" t="n">
        <v>-0.1355</v>
      </c>
      <c r="K1465" s="24" t="n">
        <v>83.90000000000001</v>
      </c>
      <c r="L1465" s="4" t="n">
        <v>17</v>
      </c>
      <c r="M1465" s="4" t="inlineStr">
        <is>
          <t>alta</t>
        </is>
      </c>
      <c r="N1465" s="4" t="inlineStr">
        <is>
          <t>por debajo de comparables</t>
        </is>
      </c>
      <c r="O1465" s="4" t="n"/>
    </row>
    <row r="1466">
      <c r="A1466" s="4" t="inlineStr">
        <is>
          <t>MD-1720</t>
        </is>
      </c>
      <c r="B1466" s="21" t="n">
        <v>46165</v>
      </c>
      <c r="C1466" s="4" t="inlineStr">
        <is>
          <t>Salamanca</t>
        </is>
      </c>
      <c r="D1466" s="4" t="n">
        <v>187</v>
      </c>
      <c r="E1466" s="4" t="inlineStr">
        <is>
          <t>a reformar</t>
        </is>
      </c>
      <c r="F1466" s="22" t="n">
        <v>1684000</v>
      </c>
      <c r="G1466" s="23" t="n">
        <v>9005.35</v>
      </c>
      <c r="H1466" s="22" t="n">
        <v>1417102</v>
      </c>
      <c r="I1466" s="23" t="n">
        <v>7578.09</v>
      </c>
      <c r="J1466" s="18" t="n">
        <v>0.1883</v>
      </c>
      <c r="K1466" s="24" t="n">
        <v>2.9</v>
      </c>
      <c r="L1466" s="4" t="n">
        <v>14</v>
      </c>
      <c r="M1466" s="4" t="inlineStr">
        <is>
          <t>media</t>
        </is>
      </c>
      <c r="N1466" s="4" t="inlineStr">
        <is>
          <t>por encima de comparables</t>
        </is>
      </c>
      <c r="O1466" s="4" t="n"/>
    </row>
    <row r="1467">
      <c r="A1467" s="4" t="inlineStr">
        <is>
          <t>MD-0624</t>
        </is>
      </c>
      <c r="B1467" s="21" t="n">
        <v>46165</v>
      </c>
      <c r="C1467" s="4" t="inlineStr">
        <is>
          <t>Salamanca</t>
        </is>
      </c>
      <c r="D1467" s="4" t="n">
        <v>112</v>
      </c>
      <c r="E1467" s="4" t="inlineStr">
        <is>
          <t>reformado</t>
        </is>
      </c>
      <c r="F1467" s="22" t="n">
        <v>479000</v>
      </c>
      <c r="G1467" s="23" t="n">
        <v>4276.79</v>
      </c>
      <c r="H1467" s="22" t="n">
        <v>1198868</v>
      </c>
      <c r="I1467" s="23" t="n">
        <v>10704.17</v>
      </c>
      <c r="J1467" s="18" t="n">
        <v>-0.6005</v>
      </c>
      <c r="K1467" s="24" t="n">
        <v>100</v>
      </c>
      <c r="L1467" s="4" t="n">
        <v>12</v>
      </c>
      <c r="M1467" s="4" t="inlineStr">
        <is>
          <t>media</t>
        </is>
      </c>
      <c r="N1467" s="4" t="inlineStr">
        <is>
          <t>por debajo de comparables</t>
        </is>
      </c>
      <c r="O1467" s="4" t="n"/>
    </row>
    <row r="1468">
      <c r="A1468" s="4" t="inlineStr">
        <is>
          <t>MD-0423</t>
        </is>
      </c>
      <c r="B1468" s="21" t="n">
        <v>46166</v>
      </c>
      <c r="C1468" s="4" t="inlineStr">
        <is>
          <t>Arganzuela</t>
        </is>
      </c>
      <c r="D1468" s="4" t="n">
        <v>62</v>
      </c>
      <c r="E1468" s="4" t="inlineStr">
        <is>
          <t>buen estado</t>
        </is>
      </c>
      <c r="F1468" s="22" t="n">
        <v>373000</v>
      </c>
      <c r="G1468" s="23" t="n">
        <v>6016.13</v>
      </c>
      <c r="H1468" s="22" t="n">
        <v>319878</v>
      </c>
      <c r="I1468" s="23" t="n">
        <v>5159.33</v>
      </c>
      <c r="J1468" s="18" t="n">
        <v>0.1661</v>
      </c>
      <c r="K1468" s="24" t="n">
        <v>8.5</v>
      </c>
      <c r="L1468" s="4" t="n">
        <v>24</v>
      </c>
      <c r="M1468" s="4" t="inlineStr">
        <is>
          <t>media</t>
        </is>
      </c>
      <c r="N1468" s="4" t="inlineStr">
        <is>
          <t>por encima de comparables</t>
        </is>
      </c>
      <c r="O1468" s="4" t="n"/>
    </row>
    <row r="1469">
      <c r="A1469" s="4" t="inlineStr">
        <is>
          <t>MD-1730</t>
        </is>
      </c>
      <c r="B1469" s="21" t="n">
        <v>46166</v>
      </c>
      <c r="C1469" s="4" t="inlineStr">
        <is>
          <t>Arganzuela</t>
        </is>
      </c>
      <c r="D1469" s="4" t="n">
        <v>58</v>
      </c>
      <c r="E1469" s="4" t="inlineStr">
        <is>
          <t>buen estado</t>
        </is>
      </c>
      <c r="F1469" s="22" t="n">
        <v>379000</v>
      </c>
      <c r="G1469" s="23" t="n">
        <v>6534.48</v>
      </c>
      <c r="H1469" s="22" t="n">
        <v>289109</v>
      </c>
      <c r="I1469" s="23" t="n">
        <v>4984.64</v>
      </c>
      <c r="J1469" s="18" t="n">
        <v>0.3109</v>
      </c>
      <c r="K1469" s="24" t="n">
        <v>0</v>
      </c>
      <c r="L1469" s="4" t="n">
        <v>20</v>
      </c>
      <c r="M1469" s="4" t="inlineStr">
        <is>
          <t>media</t>
        </is>
      </c>
      <c r="N1469" s="4" t="inlineStr">
        <is>
          <t>por encima de comparables</t>
        </is>
      </c>
      <c r="O1469" s="4" t="n"/>
    </row>
    <row r="1470">
      <c r="A1470" s="4" t="inlineStr">
        <is>
          <t>MD-0503</t>
        </is>
      </c>
      <c r="B1470" s="21" t="n">
        <v>46166</v>
      </c>
      <c r="C1470" s="4" t="inlineStr">
        <is>
          <t>Usera</t>
        </is>
      </c>
      <c r="D1470" s="4" t="n">
        <v>58</v>
      </c>
      <c r="E1470" s="4" t="inlineStr">
        <is>
          <t>a reformar</t>
        </is>
      </c>
      <c r="F1470" s="22" t="n">
        <v>175000</v>
      </c>
      <c r="G1470" s="23" t="n">
        <v>3017.24</v>
      </c>
      <c r="H1470" s="22" t="n">
        <v>143355</v>
      </c>
      <c r="I1470" s="23" t="n">
        <v>2471.63</v>
      </c>
      <c r="J1470" s="18" t="n">
        <v>0.2207</v>
      </c>
      <c r="K1470" s="24" t="n">
        <v>0</v>
      </c>
      <c r="L1470" s="4" t="n">
        <v>11</v>
      </c>
      <c r="M1470" s="4" t="inlineStr">
        <is>
          <t>media</t>
        </is>
      </c>
      <c r="N1470" s="4" t="inlineStr">
        <is>
          <t>por encima de comparables</t>
        </is>
      </c>
      <c r="O1470" s="4" t="n"/>
    </row>
    <row r="1471">
      <c r="A1471" s="4" t="inlineStr">
        <is>
          <t>MD-1365</t>
        </is>
      </c>
      <c r="B1471" s="21" t="n">
        <v>46166</v>
      </c>
      <c r="C1471" s="4" t="inlineStr">
        <is>
          <t>Vicalvaro</t>
        </is>
      </c>
      <c r="D1471" s="4" t="n">
        <v>93</v>
      </c>
      <c r="E1471" s="4" t="inlineStr">
        <is>
          <t>buen estado</t>
        </is>
      </c>
      <c r="F1471" s="22" t="n">
        <v>329000</v>
      </c>
      <c r="G1471" s="23" t="n">
        <v>3537.63</v>
      </c>
      <c r="H1471" s="22" t="n">
        <v>329781</v>
      </c>
      <c r="I1471" s="23" t="n">
        <v>3546.03</v>
      </c>
      <c r="J1471" s="18" t="n">
        <v>-0.0024</v>
      </c>
      <c r="K1471" s="24" t="n">
        <v>50.6</v>
      </c>
      <c r="L1471" s="4" t="n">
        <v>28</v>
      </c>
      <c r="M1471" s="4" t="inlineStr">
        <is>
          <t>media</t>
        </is>
      </c>
      <c r="N1471" s="4" t="inlineStr">
        <is>
          <t>en linea con comparables</t>
        </is>
      </c>
      <c r="O1471" s="4" t="n"/>
    </row>
    <row r="1472">
      <c r="A1472" s="4" t="inlineStr">
        <is>
          <t>MD-0753</t>
        </is>
      </c>
      <c r="B1472" s="21" t="n">
        <v>46166</v>
      </c>
      <c r="C1472" s="4" t="inlineStr">
        <is>
          <t>Villa de Vallecas</t>
        </is>
      </c>
      <c r="D1472" s="4" t="n">
        <v>94</v>
      </c>
      <c r="E1472" s="4" t="inlineStr">
        <is>
          <t>buen estado</t>
        </is>
      </c>
      <c r="F1472" s="22" t="n">
        <v>327000</v>
      </c>
      <c r="G1472" s="23" t="n">
        <v>3478.72</v>
      </c>
      <c r="H1472" s="22" t="n">
        <v>299669</v>
      </c>
      <c r="I1472" s="23" t="n">
        <v>3187.97</v>
      </c>
      <c r="J1472" s="18" t="n">
        <v>0.0912</v>
      </c>
      <c r="K1472" s="24" t="n">
        <v>27.2</v>
      </c>
      <c r="L1472" s="4" t="n">
        <v>15</v>
      </c>
      <c r="M1472" s="4" t="inlineStr">
        <is>
          <t>alta</t>
        </is>
      </c>
      <c r="N1472" s="4" t="inlineStr">
        <is>
          <t>en linea con comparables</t>
        </is>
      </c>
      <c r="O1472" s="4" t="n"/>
    </row>
    <row r="1473">
      <c r="A1473" s="4" t="inlineStr">
        <is>
          <t>MD-0334</t>
        </is>
      </c>
      <c r="B1473" s="21" t="n">
        <v>46166</v>
      </c>
      <c r="C1473" s="4" t="inlineStr">
        <is>
          <t>Hortaleza</t>
        </is>
      </c>
      <c r="D1473" s="4" t="n">
        <v>58</v>
      </c>
      <c r="E1473" s="4" t="inlineStr">
        <is>
          <t>buen estado</t>
        </is>
      </c>
      <c r="F1473" s="22" t="n">
        <v>179000</v>
      </c>
      <c r="G1473" s="23" t="n">
        <v>3086.21</v>
      </c>
      <c r="H1473" s="22" t="n">
        <v>296919</v>
      </c>
      <c r="I1473" s="23" t="n">
        <v>5119.3</v>
      </c>
      <c r="J1473" s="18" t="n">
        <v>-0.3971</v>
      </c>
      <c r="K1473" s="24" t="n">
        <v>100</v>
      </c>
      <c r="L1473" s="4" t="n">
        <v>14</v>
      </c>
      <c r="M1473" s="4" t="inlineStr">
        <is>
          <t>media</t>
        </is>
      </c>
      <c r="N1473" s="4" t="inlineStr">
        <is>
          <t>por debajo de comparables</t>
        </is>
      </c>
      <c r="O1473" s="4" t="n"/>
    </row>
    <row r="1474">
      <c r="A1474" s="4" t="inlineStr">
        <is>
          <t>MD-0015</t>
        </is>
      </c>
      <c r="B1474" s="21" t="n">
        <v>46166</v>
      </c>
      <c r="C1474" s="4" t="inlineStr">
        <is>
          <t>Carabanchel</t>
        </is>
      </c>
      <c r="D1474" s="4" t="n">
        <v>99</v>
      </c>
      <c r="E1474" s="4" t="inlineStr">
        <is>
          <t>buen estado</t>
        </is>
      </c>
      <c r="F1474" s="22" t="n">
        <v>334000</v>
      </c>
      <c r="G1474" s="23" t="n">
        <v>3373.74</v>
      </c>
      <c r="H1474" s="22" t="n">
        <v>336304</v>
      </c>
      <c r="I1474" s="23" t="n">
        <v>3397.01</v>
      </c>
      <c r="J1474" s="18" t="n">
        <v>-0.0069</v>
      </c>
      <c r="K1474" s="24" t="n">
        <v>51.7</v>
      </c>
      <c r="L1474" s="4" t="n">
        <v>16</v>
      </c>
      <c r="M1474" s="4" t="inlineStr">
        <is>
          <t>alta</t>
        </is>
      </c>
      <c r="N1474" s="4" t="inlineStr">
        <is>
          <t>en linea con comparables</t>
        </is>
      </c>
      <c r="O1474" s="4" t="n"/>
    </row>
    <row r="1475">
      <c r="A1475" s="4" t="inlineStr">
        <is>
          <t>MD-1282</t>
        </is>
      </c>
      <c r="B1475" s="21" t="n">
        <v>46166</v>
      </c>
      <c r="C1475" s="4" t="inlineStr">
        <is>
          <t>Usera</t>
        </is>
      </c>
      <c r="D1475" s="4" t="n">
        <v>73</v>
      </c>
      <c r="E1475" s="4" t="inlineStr">
        <is>
          <t>a reformar</t>
        </is>
      </c>
      <c r="F1475" s="22" t="n">
        <v>130000</v>
      </c>
      <c r="G1475" s="23" t="n">
        <v>1780.82</v>
      </c>
      <c r="H1475" s="22" t="n">
        <v>186790</v>
      </c>
      <c r="I1475" s="23" t="n">
        <v>2558.77</v>
      </c>
      <c r="J1475" s="18" t="n">
        <v>-0.304</v>
      </c>
      <c r="K1475" s="24" t="n">
        <v>100</v>
      </c>
      <c r="L1475" s="4" t="n">
        <v>18</v>
      </c>
      <c r="M1475" s="4" t="inlineStr">
        <is>
          <t>media</t>
        </is>
      </c>
      <c r="N1475" s="4" t="inlineStr">
        <is>
          <t>por debajo de comparables</t>
        </is>
      </c>
      <c r="O1475" s="4" t="n"/>
    </row>
    <row r="1476">
      <c r="A1476" s="4" t="inlineStr">
        <is>
          <t>MD-0327</t>
        </is>
      </c>
      <c r="B1476" s="21" t="n">
        <v>46166</v>
      </c>
      <c r="C1476" s="4" t="inlineStr">
        <is>
          <t>Chamartin</t>
        </is>
      </c>
      <c r="D1476" s="4" t="n">
        <v>159</v>
      </c>
      <c r="E1476" s="4" t="inlineStr">
        <is>
          <t>buen estado</t>
        </is>
      </c>
      <c r="F1476" s="22" t="n">
        <v>1256000</v>
      </c>
      <c r="G1476" s="23" t="n">
        <v>7899.37</v>
      </c>
      <c r="H1476" s="22" t="n">
        <v>1016861</v>
      </c>
      <c r="I1476" s="23" t="n">
        <v>6395.35</v>
      </c>
      <c r="J1476" s="18" t="n">
        <v>0.2352</v>
      </c>
      <c r="K1476" s="24" t="n">
        <v>0</v>
      </c>
      <c r="L1476" s="4" t="n">
        <v>21</v>
      </c>
      <c r="M1476" s="4" t="inlineStr">
        <is>
          <t>media</t>
        </is>
      </c>
      <c r="N1476" s="4" t="inlineStr">
        <is>
          <t>por encima de comparables</t>
        </is>
      </c>
      <c r="O1476" s="4" t="n"/>
    </row>
    <row r="1477">
      <c r="A1477" s="4" t="inlineStr">
        <is>
          <t>MD-1460</t>
        </is>
      </c>
      <c r="B1477" s="21" t="n">
        <v>46166</v>
      </c>
      <c r="C1477" s="4" t="inlineStr">
        <is>
          <t>Tetuan</t>
        </is>
      </c>
      <c r="D1477" s="4" t="n">
        <v>66</v>
      </c>
      <c r="E1477" s="4" t="inlineStr">
        <is>
          <t>reformado</t>
        </is>
      </c>
      <c r="F1477" s="22" t="n">
        <v>372000</v>
      </c>
      <c r="G1477" s="23" t="n">
        <v>5636.36</v>
      </c>
      <c r="H1477" s="22" t="n">
        <v>339478</v>
      </c>
      <c r="I1477" s="23" t="n">
        <v>5143.6</v>
      </c>
      <c r="J1477" s="18" t="n">
        <v>0.0958</v>
      </c>
      <c r="K1477" s="24" t="n">
        <v>26</v>
      </c>
      <c r="L1477" s="4" t="n">
        <v>27</v>
      </c>
      <c r="M1477" s="4" t="inlineStr">
        <is>
          <t>media</t>
        </is>
      </c>
      <c r="N1477" s="4" t="inlineStr">
        <is>
          <t>en linea con comparables</t>
        </is>
      </c>
      <c r="O1477" s="4" t="n"/>
    </row>
    <row r="1478">
      <c r="A1478" s="4" t="inlineStr">
        <is>
          <t>MD-1998</t>
        </is>
      </c>
      <c r="B1478" s="21" t="n">
        <v>46166</v>
      </c>
      <c r="C1478" s="4" t="inlineStr">
        <is>
          <t>Villa de Vallecas</t>
        </is>
      </c>
      <c r="D1478" s="4" t="n">
        <v>85</v>
      </c>
      <c r="E1478" s="4" t="inlineStr">
        <is>
          <t>a reformar</t>
        </is>
      </c>
      <c r="F1478" s="22" t="n">
        <v>237000</v>
      </c>
      <c r="G1478" s="23" t="n">
        <v>2788.24</v>
      </c>
      <c r="H1478" s="22" t="n">
        <v>267615</v>
      </c>
      <c r="I1478" s="23" t="n">
        <v>3148.41</v>
      </c>
      <c r="J1478" s="18" t="n">
        <v>-0.1144</v>
      </c>
      <c r="K1478" s="24" t="n">
        <v>78.59999999999999</v>
      </c>
      <c r="L1478" s="4" t="n">
        <v>19</v>
      </c>
      <c r="M1478" s="4" t="inlineStr">
        <is>
          <t>alta</t>
        </is>
      </c>
      <c r="N1478" s="4" t="inlineStr">
        <is>
          <t>por debajo de comparables</t>
        </is>
      </c>
      <c r="O1478" s="4" t="n"/>
    </row>
    <row r="1479">
      <c r="A1479" s="4" t="inlineStr">
        <is>
          <t>MD-0919</t>
        </is>
      </c>
      <c r="B1479" s="21" t="n">
        <v>46167</v>
      </c>
      <c r="C1479" s="4" t="inlineStr">
        <is>
          <t>Moncloa-Aravaca</t>
        </is>
      </c>
      <c r="D1479" s="4" t="n">
        <v>115</v>
      </c>
      <c r="E1479" s="4" t="inlineStr">
        <is>
          <t>obra nueva</t>
        </is>
      </c>
      <c r="F1479" s="22" t="n">
        <v>796000</v>
      </c>
      <c r="G1479" s="23" t="n">
        <v>6921.74</v>
      </c>
      <c r="H1479" s="22" t="n"/>
      <c r="I1479" s="23" t="n"/>
      <c r="J1479" s="18" t="n"/>
      <c r="K1479" s="24" t="n"/>
      <c r="L1479" s="4" t="n">
        <v>4</v>
      </c>
      <c r="M1479" s="4" t="inlineStr">
        <is>
          <t>sin muestra</t>
        </is>
      </c>
      <c r="N1479" s="4" t="inlineStr">
        <is>
          <t>no valorable</t>
        </is>
      </c>
      <c r="O1479" s="4" t="inlineStr">
        <is>
          <t>segmento con pocas operaciones comparables</t>
        </is>
      </c>
    </row>
    <row r="1480">
      <c r="A1480" s="4" t="inlineStr">
        <is>
          <t>MD-0473</t>
        </is>
      </c>
      <c r="B1480" s="21" t="n">
        <v>46167</v>
      </c>
      <c r="C1480" s="4" t="inlineStr">
        <is>
          <t>San Blas-Canillejas</t>
        </is>
      </c>
      <c r="D1480" s="4" t="n">
        <v>187</v>
      </c>
      <c r="E1480" s="4" t="inlineStr">
        <is>
          <t>reformado</t>
        </is>
      </c>
      <c r="F1480" s="22" t="n">
        <v>947000</v>
      </c>
      <c r="G1480" s="23" t="n">
        <v>5064.17</v>
      </c>
      <c r="H1480" s="22" t="n">
        <v>784311</v>
      </c>
      <c r="I1480" s="23" t="n">
        <v>4194.18</v>
      </c>
      <c r="J1480" s="18" t="n">
        <v>0.2074</v>
      </c>
      <c r="K1480" s="24" t="n">
        <v>0</v>
      </c>
      <c r="L1480" s="4" t="n">
        <v>6</v>
      </c>
      <c r="M1480" s="4" t="inlineStr">
        <is>
          <t>baja</t>
        </is>
      </c>
      <c r="N1480" s="4" t="inlineStr">
        <is>
          <t>por encima de comparables</t>
        </is>
      </c>
      <c r="O1480" s="4" t="n"/>
    </row>
    <row r="1481">
      <c r="A1481" s="4" t="inlineStr">
        <is>
          <t>MD-0914</t>
        </is>
      </c>
      <c r="B1481" s="21" t="n">
        <v>46167</v>
      </c>
      <c r="C1481" s="4" t="inlineStr">
        <is>
          <t>Arganzuela</t>
        </is>
      </c>
      <c r="D1481" s="4" t="n">
        <v>80</v>
      </c>
      <c r="E1481" s="4" t="inlineStr">
        <is>
          <t>reformado</t>
        </is>
      </c>
      <c r="F1481" s="22" t="n">
        <v>414000</v>
      </c>
      <c r="G1481" s="23" t="n">
        <v>5175</v>
      </c>
      <c r="H1481" s="22" t="n">
        <v>561430</v>
      </c>
      <c r="I1481" s="23" t="n">
        <v>7017.87</v>
      </c>
      <c r="J1481" s="18" t="n">
        <v>-0.2626</v>
      </c>
      <c r="K1481" s="24" t="n">
        <v>100</v>
      </c>
      <c r="L1481" s="4" t="n">
        <v>24</v>
      </c>
      <c r="M1481" s="4" t="inlineStr">
        <is>
          <t>alta</t>
        </is>
      </c>
      <c r="N1481" s="4" t="inlineStr">
        <is>
          <t>por debajo de comparables</t>
        </is>
      </c>
      <c r="O1481" s="4" t="n"/>
    </row>
    <row r="1482">
      <c r="A1482" s="4" t="inlineStr">
        <is>
          <t>MD-0982</t>
        </is>
      </c>
      <c r="B1482" s="21" t="n">
        <v>46168</v>
      </c>
      <c r="C1482" s="4" t="inlineStr">
        <is>
          <t>Ciudad Lineal</t>
        </is>
      </c>
      <c r="D1482" s="4" t="n">
        <v>126</v>
      </c>
      <c r="E1482" s="4" t="inlineStr">
        <is>
          <t>a reformar</t>
        </is>
      </c>
      <c r="F1482" s="22" t="n">
        <v>623000</v>
      </c>
      <c r="G1482" s="23" t="n">
        <v>4944.44</v>
      </c>
      <c r="H1482" s="22" t="n">
        <v>472614</v>
      </c>
      <c r="I1482" s="23" t="n">
        <v>3750.91</v>
      </c>
      <c r="J1482" s="18" t="n">
        <v>0.3182</v>
      </c>
      <c r="K1482" s="24" t="n">
        <v>0</v>
      </c>
      <c r="L1482" s="4" t="n">
        <v>5</v>
      </c>
      <c r="M1482" s="4" t="inlineStr">
        <is>
          <t>baja</t>
        </is>
      </c>
      <c r="N1482" s="4" t="inlineStr">
        <is>
          <t>por encima de comparables</t>
        </is>
      </c>
      <c r="O1482" s="4" t="n"/>
    </row>
    <row r="1483">
      <c r="A1483" s="4" t="inlineStr">
        <is>
          <t>MD-1067</t>
        </is>
      </c>
      <c r="B1483" s="21" t="n">
        <v>46168</v>
      </c>
      <c r="C1483" s="4" t="inlineStr">
        <is>
          <t>Retiro</t>
        </is>
      </c>
      <c r="D1483" s="4" t="n">
        <v>44</v>
      </c>
      <c r="E1483" s="4" t="inlineStr">
        <is>
          <t>reformado</t>
        </is>
      </c>
      <c r="F1483" s="22" t="n">
        <v>482000</v>
      </c>
      <c r="G1483" s="23" t="n">
        <v>10954.55</v>
      </c>
      <c r="H1483" s="22" t="n">
        <v>356651</v>
      </c>
      <c r="I1483" s="23" t="n">
        <v>8105.7</v>
      </c>
      <c r="J1483" s="18" t="n">
        <v>0.3515</v>
      </c>
      <c r="K1483" s="24" t="n">
        <v>0</v>
      </c>
      <c r="L1483" s="4" t="n">
        <v>11</v>
      </c>
      <c r="M1483" s="4" t="inlineStr">
        <is>
          <t>media</t>
        </is>
      </c>
      <c r="N1483" s="4" t="inlineStr">
        <is>
          <t>por encima de comparables</t>
        </is>
      </c>
      <c r="O1483" s="4" t="n"/>
    </row>
    <row r="1484">
      <c r="A1484" s="4" t="inlineStr">
        <is>
          <t>MD-0657</t>
        </is>
      </c>
      <c r="B1484" s="21" t="n">
        <v>46169</v>
      </c>
      <c r="C1484" s="4" t="inlineStr">
        <is>
          <t>Fuencarral-El Pardo</t>
        </is>
      </c>
      <c r="D1484" s="4" t="n">
        <v>60</v>
      </c>
      <c r="E1484" s="4" t="inlineStr">
        <is>
          <t>a reformar</t>
        </is>
      </c>
      <c r="F1484" s="22" t="n">
        <v>232000</v>
      </c>
      <c r="G1484" s="23" t="n">
        <v>3866.67</v>
      </c>
      <c r="H1484" s="22" t="n">
        <v>253798</v>
      </c>
      <c r="I1484" s="23" t="n">
        <v>4229.97</v>
      </c>
      <c r="J1484" s="18" t="n">
        <v>-0.0859</v>
      </c>
      <c r="K1484" s="24" t="n">
        <v>71.5</v>
      </c>
      <c r="L1484" s="4" t="n">
        <v>24</v>
      </c>
      <c r="M1484" s="4" t="inlineStr">
        <is>
          <t>media</t>
        </is>
      </c>
      <c r="N1484" s="4" t="inlineStr">
        <is>
          <t>en linea con comparables</t>
        </is>
      </c>
      <c r="O1484" s="4" t="n"/>
    </row>
    <row r="1485">
      <c r="A1485" s="4" t="inlineStr">
        <is>
          <t>MD-0799</t>
        </is>
      </c>
      <c r="B1485" s="21" t="n">
        <v>46169</v>
      </c>
      <c r="C1485" s="4" t="inlineStr">
        <is>
          <t>Arganzuela</t>
        </is>
      </c>
      <c r="D1485" s="4" t="n">
        <v>88</v>
      </c>
      <c r="E1485" s="4" t="inlineStr">
        <is>
          <t>buen estado</t>
        </is>
      </c>
      <c r="F1485" s="22" t="n">
        <v>536000</v>
      </c>
      <c r="G1485" s="23" t="n">
        <v>6090.91</v>
      </c>
      <c r="H1485" s="22" t="n">
        <v>552935</v>
      </c>
      <c r="I1485" s="23" t="n">
        <v>6283.35</v>
      </c>
      <c r="J1485" s="18" t="n">
        <v>-0.0306</v>
      </c>
      <c r="K1485" s="24" t="n">
        <v>57.7</v>
      </c>
      <c r="L1485" s="4" t="n">
        <v>22</v>
      </c>
      <c r="M1485" s="4" t="inlineStr">
        <is>
          <t>alta</t>
        </is>
      </c>
      <c r="N1485" s="4" t="inlineStr">
        <is>
          <t>en linea con comparables</t>
        </is>
      </c>
      <c r="O1485" s="4" t="n"/>
    </row>
    <row r="1486">
      <c r="A1486" s="4" t="inlineStr">
        <is>
          <t>MD-1169</t>
        </is>
      </c>
      <c r="B1486" s="21" t="n">
        <v>46169</v>
      </c>
      <c r="C1486" s="4" t="inlineStr">
        <is>
          <t>Salamanca</t>
        </is>
      </c>
      <c r="D1486" s="4" t="n">
        <v>56</v>
      </c>
      <c r="E1486" s="4" t="inlineStr">
        <is>
          <t>buen estado</t>
        </is>
      </c>
      <c r="F1486" s="22" t="n">
        <v>514000</v>
      </c>
      <c r="G1486" s="23" t="n">
        <v>9178.57</v>
      </c>
      <c r="H1486" s="22" t="n">
        <v>439517</v>
      </c>
      <c r="I1486" s="23" t="n">
        <v>7848.51</v>
      </c>
      <c r="J1486" s="18" t="n">
        <v>0.1695</v>
      </c>
      <c r="K1486" s="24" t="n">
        <v>7.6</v>
      </c>
      <c r="L1486" s="4" t="n">
        <v>18</v>
      </c>
      <c r="M1486" s="4" t="inlineStr">
        <is>
          <t>media</t>
        </is>
      </c>
      <c r="N1486" s="4" t="inlineStr">
        <is>
          <t>por encima de comparables</t>
        </is>
      </c>
      <c r="O1486" s="4" t="n"/>
    </row>
    <row r="1487">
      <c r="A1487" s="4" t="inlineStr">
        <is>
          <t>MD-1753</t>
        </is>
      </c>
      <c r="B1487" s="21" t="n">
        <v>46170</v>
      </c>
      <c r="C1487" s="4" t="inlineStr">
        <is>
          <t>Latina</t>
        </is>
      </c>
      <c r="D1487" s="4" t="n">
        <v>40</v>
      </c>
      <c r="E1487" s="4" t="inlineStr">
        <is>
          <t>buen estado</t>
        </is>
      </c>
      <c r="F1487" s="22" t="n">
        <v>124000</v>
      </c>
      <c r="G1487" s="23" t="n">
        <v>3100</v>
      </c>
      <c r="H1487" s="22" t="n">
        <v>141635</v>
      </c>
      <c r="I1487" s="23" t="n">
        <v>3540.87</v>
      </c>
      <c r="J1487" s="18" t="n">
        <v>-0.1245</v>
      </c>
      <c r="K1487" s="24" t="n">
        <v>81.09999999999999</v>
      </c>
      <c r="L1487" s="4" t="n">
        <v>19</v>
      </c>
      <c r="M1487" s="4" t="inlineStr">
        <is>
          <t>alta</t>
        </is>
      </c>
      <c r="N1487" s="4" t="inlineStr">
        <is>
          <t>por debajo de comparables</t>
        </is>
      </c>
      <c r="O1487" s="4" t="n"/>
    </row>
    <row r="1488">
      <c r="A1488" s="4" t="inlineStr">
        <is>
          <t>MD-0874</t>
        </is>
      </c>
      <c r="B1488" s="21" t="n">
        <v>46170</v>
      </c>
      <c r="C1488" s="4" t="inlineStr">
        <is>
          <t>Retiro</t>
        </is>
      </c>
      <c r="D1488" s="4" t="n">
        <v>114</v>
      </c>
      <c r="E1488" s="4" t="inlineStr">
        <is>
          <t>a reformar</t>
        </is>
      </c>
      <c r="F1488" s="22" t="n">
        <v>800000</v>
      </c>
      <c r="G1488" s="23" t="n">
        <v>7017.54</v>
      </c>
      <c r="H1488" s="22" t="n">
        <v>685808</v>
      </c>
      <c r="I1488" s="23" t="n">
        <v>6015.86</v>
      </c>
      <c r="J1488" s="18" t="n">
        <v>0.1665</v>
      </c>
      <c r="K1488" s="24" t="n">
        <v>8.4</v>
      </c>
      <c r="L1488" s="4" t="n">
        <v>11</v>
      </c>
      <c r="M1488" s="4" t="inlineStr">
        <is>
          <t>media</t>
        </is>
      </c>
      <c r="N1488" s="4" t="inlineStr">
        <is>
          <t>por encima de comparables</t>
        </is>
      </c>
      <c r="O1488" s="4" t="n"/>
    </row>
    <row r="1489">
      <c r="A1489" s="4" t="inlineStr">
        <is>
          <t>MD-0875</t>
        </is>
      </c>
      <c r="B1489" s="21" t="n">
        <v>46170</v>
      </c>
      <c r="C1489" s="4" t="inlineStr">
        <is>
          <t>Moncloa-Aravaca</t>
        </is>
      </c>
      <c r="D1489" s="4" t="n">
        <v>68</v>
      </c>
      <c r="E1489" s="4" t="inlineStr">
        <is>
          <t>a reformar</t>
        </is>
      </c>
      <c r="F1489" s="22" t="n">
        <v>344000</v>
      </c>
      <c r="G1489" s="23" t="n">
        <v>5058.82</v>
      </c>
      <c r="H1489" s="22" t="n">
        <v>364481</v>
      </c>
      <c r="I1489" s="23" t="n">
        <v>5360.02</v>
      </c>
      <c r="J1489" s="18" t="n">
        <v>-0.0562</v>
      </c>
      <c r="K1489" s="24" t="n">
        <v>64</v>
      </c>
      <c r="L1489" s="4" t="n">
        <v>9</v>
      </c>
      <c r="M1489" s="4" t="inlineStr">
        <is>
          <t>media</t>
        </is>
      </c>
      <c r="N1489" s="4" t="inlineStr">
        <is>
          <t>en linea con comparables</t>
        </is>
      </c>
      <c r="O1489" s="4" t="n"/>
    </row>
    <row r="1490">
      <c r="A1490" s="4" t="inlineStr">
        <is>
          <t>MD-0071</t>
        </is>
      </c>
      <c r="B1490" s="21" t="n">
        <v>46170</v>
      </c>
      <c r="C1490" s="4" t="inlineStr">
        <is>
          <t>Centro</t>
        </is>
      </c>
      <c r="D1490" s="4" t="n">
        <v>88</v>
      </c>
      <c r="E1490" s="4" t="inlineStr">
        <is>
          <t>buen estado</t>
        </is>
      </c>
      <c r="F1490" s="22" t="n">
        <v>782000</v>
      </c>
      <c r="G1490" s="23" t="n">
        <v>8886.360000000001</v>
      </c>
      <c r="H1490" s="22" t="n">
        <v>664415</v>
      </c>
      <c r="I1490" s="23" t="n">
        <v>7550.17</v>
      </c>
      <c r="J1490" s="18" t="n">
        <v>0.177</v>
      </c>
      <c r="K1490" s="24" t="n">
        <v>5.8</v>
      </c>
      <c r="L1490" s="4" t="n">
        <v>20</v>
      </c>
      <c r="M1490" s="4" t="inlineStr">
        <is>
          <t>alta</t>
        </is>
      </c>
      <c r="N1490" s="4" t="inlineStr">
        <is>
          <t>por encima de comparables</t>
        </is>
      </c>
      <c r="O1490" s="4" t="n"/>
    </row>
    <row r="1491">
      <c r="A1491" s="4" t="inlineStr">
        <is>
          <t>MD-0401</t>
        </is>
      </c>
      <c r="B1491" s="21" t="n">
        <v>46170</v>
      </c>
      <c r="C1491" s="4" t="inlineStr">
        <is>
          <t>Arganzuela</t>
        </is>
      </c>
      <c r="D1491" s="4" t="n">
        <v>57</v>
      </c>
      <c r="E1491" s="4" t="inlineStr">
        <is>
          <t>reformado</t>
        </is>
      </c>
      <c r="F1491" s="22" t="n">
        <v>329000</v>
      </c>
      <c r="G1491" s="23" t="n">
        <v>5771.93</v>
      </c>
      <c r="H1491" s="22" t="n">
        <v>337123</v>
      </c>
      <c r="I1491" s="23" t="n">
        <v>5914.44</v>
      </c>
      <c r="J1491" s="18" t="n">
        <v>-0.0241</v>
      </c>
      <c r="K1491" s="24" t="n">
        <v>56</v>
      </c>
      <c r="L1491" s="4" t="n">
        <v>22</v>
      </c>
      <c r="M1491" s="4" t="inlineStr">
        <is>
          <t>alta</t>
        </is>
      </c>
      <c r="N1491" s="4" t="inlineStr">
        <is>
          <t>en linea con comparables</t>
        </is>
      </c>
      <c r="O1491" s="4" t="n"/>
    </row>
    <row r="1492">
      <c r="A1492" s="4" t="inlineStr">
        <is>
          <t>MD-1602</t>
        </is>
      </c>
      <c r="B1492" s="21" t="n">
        <v>46170</v>
      </c>
      <c r="C1492" s="4" t="inlineStr">
        <is>
          <t>Centro</t>
        </is>
      </c>
      <c r="D1492" s="4" t="n">
        <v>79</v>
      </c>
      <c r="E1492" s="4" t="inlineStr">
        <is>
          <t>reformado</t>
        </is>
      </c>
      <c r="F1492" s="22" t="n">
        <v>762000</v>
      </c>
      <c r="G1492" s="23" t="n">
        <v>9645.57</v>
      </c>
      <c r="H1492" s="22" t="n">
        <v>610719</v>
      </c>
      <c r="I1492" s="23" t="n">
        <v>7730.62</v>
      </c>
      <c r="J1492" s="18" t="n">
        <v>0.2477</v>
      </c>
      <c r="K1492" s="24" t="n">
        <v>0</v>
      </c>
      <c r="L1492" s="4" t="n">
        <v>18</v>
      </c>
      <c r="M1492" s="4" t="inlineStr">
        <is>
          <t>alta</t>
        </is>
      </c>
      <c r="N1492" s="4" t="inlineStr">
        <is>
          <t>por encima de comparables</t>
        </is>
      </c>
      <c r="O1492" s="4" t="n"/>
    </row>
    <row r="1493">
      <c r="A1493" s="4" t="inlineStr">
        <is>
          <t>MD-0053</t>
        </is>
      </c>
      <c r="B1493" s="21" t="n">
        <v>46170</v>
      </c>
      <c r="C1493" s="4" t="inlineStr">
        <is>
          <t>Tetuan</t>
        </is>
      </c>
      <c r="D1493" s="4" t="n">
        <v>55</v>
      </c>
      <c r="E1493" s="4" t="inlineStr">
        <is>
          <t>buen estado</t>
        </is>
      </c>
      <c r="F1493" s="22" t="n">
        <v>306000</v>
      </c>
      <c r="G1493" s="23" t="n">
        <v>5563.64</v>
      </c>
      <c r="H1493" s="22" t="n">
        <v>244616</v>
      </c>
      <c r="I1493" s="23" t="n">
        <v>4447.56</v>
      </c>
      <c r="J1493" s="18" t="n">
        <v>0.2509</v>
      </c>
      <c r="K1493" s="24" t="n">
        <v>0</v>
      </c>
      <c r="L1493" s="4" t="n">
        <v>22</v>
      </c>
      <c r="M1493" s="4" t="inlineStr">
        <is>
          <t>media</t>
        </is>
      </c>
      <c r="N1493" s="4" t="inlineStr">
        <is>
          <t>por encima de comparables</t>
        </is>
      </c>
      <c r="O1493" s="4" t="n"/>
    </row>
    <row r="1494">
      <c r="A1494" s="4" t="inlineStr">
        <is>
          <t>MD-0040</t>
        </is>
      </c>
      <c r="B1494" s="21" t="n">
        <v>46170</v>
      </c>
      <c r="C1494" s="4" t="inlineStr">
        <is>
          <t>Ciudad Lineal</t>
        </is>
      </c>
      <c r="D1494" s="4" t="n">
        <v>37</v>
      </c>
      <c r="E1494" s="4" t="inlineStr">
        <is>
          <t>buen estado</t>
        </is>
      </c>
      <c r="F1494" s="22" t="n">
        <v>149000</v>
      </c>
      <c r="G1494" s="23" t="n">
        <v>4027.03</v>
      </c>
      <c r="H1494" s="22" t="n">
        <v>149661</v>
      </c>
      <c r="I1494" s="23" t="n">
        <v>4044.89</v>
      </c>
      <c r="J1494" s="18" t="n">
        <v>-0.0044</v>
      </c>
      <c r="K1494" s="24" t="n">
        <v>51.1</v>
      </c>
      <c r="L1494" s="4" t="n">
        <v>12</v>
      </c>
      <c r="M1494" s="4" t="inlineStr">
        <is>
          <t>media</t>
        </is>
      </c>
      <c r="N1494" s="4" t="inlineStr">
        <is>
          <t>en linea con comparables</t>
        </is>
      </c>
      <c r="O1494" s="4" t="n"/>
    </row>
    <row r="1495">
      <c r="A1495" s="4" t="inlineStr">
        <is>
          <t>MD-0256</t>
        </is>
      </c>
      <c r="B1495" s="21" t="n">
        <v>46171</v>
      </c>
      <c r="C1495" s="4" t="inlineStr">
        <is>
          <t>Tetuan</t>
        </is>
      </c>
      <c r="D1495" s="4" t="n">
        <v>90</v>
      </c>
      <c r="E1495" s="4" t="inlineStr">
        <is>
          <t>a reformar</t>
        </is>
      </c>
      <c r="F1495" s="22" t="n">
        <v>364000</v>
      </c>
      <c r="G1495" s="23" t="n">
        <v>4044.44</v>
      </c>
      <c r="H1495" s="22" t="n">
        <v>402864</v>
      </c>
      <c r="I1495" s="23" t="n">
        <v>4476.27</v>
      </c>
      <c r="J1495" s="18" t="n">
        <v>-0.0965</v>
      </c>
      <c r="K1495" s="24" t="n">
        <v>74.09999999999999</v>
      </c>
      <c r="L1495" s="4" t="n">
        <v>24</v>
      </c>
      <c r="M1495" s="4" t="inlineStr">
        <is>
          <t>media</t>
        </is>
      </c>
      <c r="N1495" s="4" t="inlineStr">
        <is>
          <t>en linea con comparables</t>
        </is>
      </c>
      <c r="O1495" s="4" t="n"/>
    </row>
    <row r="1496">
      <c r="A1496" s="4" t="inlineStr">
        <is>
          <t>MD-1146</t>
        </is>
      </c>
      <c r="B1496" s="21" t="n">
        <v>46171</v>
      </c>
      <c r="C1496" s="4" t="inlineStr">
        <is>
          <t>Villaverde</t>
        </is>
      </c>
      <c r="D1496" s="4" t="n">
        <v>48</v>
      </c>
      <c r="E1496" s="4" t="inlineStr">
        <is>
          <t>reformado</t>
        </is>
      </c>
      <c r="F1496" s="22" t="n">
        <v>114000</v>
      </c>
      <c r="G1496" s="23" t="n">
        <v>2375</v>
      </c>
      <c r="H1496" s="22" t="n">
        <v>121258</v>
      </c>
      <c r="I1496" s="23" t="n">
        <v>2526.22</v>
      </c>
      <c r="J1496" s="18" t="n">
        <v>-0.0599</v>
      </c>
      <c r="K1496" s="24" t="n">
        <v>65</v>
      </c>
      <c r="L1496" s="4" t="n">
        <v>5</v>
      </c>
      <c r="M1496" s="4" t="inlineStr">
        <is>
          <t>baja</t>
        </is>
      </c>
      <c r="N1496" s="4" t="inlineStr">
        <is>
          <t>en linea con comparables</t>
        </is>
      </c>
      <c r="O1496" s="4" t="n"/>
    </row>
    <row r="1497">
      <c r="A1497" s="4" t="inlineStr">
        <is>
          <t>MD-1711</t>
        </is>
      </c>
      <c r="B1497" s="21" t="n">
        <v>46171</v>
      </c>
      <c r="C1497" s="4" t="inlineStr">
        <is>
          <t>Barajas</t>
        </is>
      </c>
      <c r="D1497" s="4" t="n">
        <v>175</v>
      </c>
      <c r="E1497" s="4" t="inlineStr">
        <is>
          <t>reformado</t>
        </is>
      </c>
      <c r="F1497" s="22" t="n">
        <v>1049000</v>
      </c>
      <c r="G1497" s="23" t="n">
        <v>5994.29</v>
      </c>
      <c r="H1497" s="22" t="n"/>
      <c r="I1497" s="23" t="n"/>
      <c r="J1497" s="18" t="n"/>
      <c r="K1497" s="24" t="n"/>
      <c r="L1497" s="4" t="n">
        <v>2</v>
      </c>
      <c r="M1497" s="4" t="inlineStr">
        <is>
          <t>sin muestra</t>
        </is>
      </c>
      <c r="N1497" s="4" t="inlineStr">
        <is>
          <t>no valorable</t>
        </is>
      </c>
      <c r="O1497" s="4" t="inlineStr">
        <is>
          <t>segmento con pocas operaciones comparables</t>
        </is>
      </c>
    </row>
    <row r="1498">
      <c r="A1498" s="4" t="inlineStr">
        <is>
          <t>MD-1987</t>
        </is>
      </c>
      <c r="B1498" s="21" t="n">
        <v>46171</v>
      </c>
      <c r="C1498" s="4" t="inlineStr">
        <is>
          <t>Tetuan</t>
        </is>
      </c>
      <c r="D1498" s="4" t="n">
        <v>75</v>
      </c>
      <c r="E1498" s="4" t="inlineStr">
        <is>
          <t>buen estado</t>
        </is>
      </c>
      <c r="F1498" s="22" t="n">
        <v>402000</v>
      </c>
      <c r="G1498" s="23" t="n">
        <v>5360</v>
      </c>
      <c r="H1498" s="22" t="n">
        <v>412404</v>
      </c>
      <c r="I1498" s="23" t="n">
        <v>5498.72</v>
      </c>
      <c r="J1498" s="18" t="n">
        <v>-0.0252</v>
      </c>
      <c r="K1498" s="24" t="n">
        <v>56.3</v>
      </c>
      <c r="L1498" s="4" t="n">
        <v>32</v>
      </c>
      <c r="M1498" s="4" t="inlineStr">
        <is>
          <t>alta</t>
        </is>
      </c>
      <c r="N1498" s="4" t="inlineStr">
        <is>
          <t>en linea con comparables</t>
        </is>
      </c>
      <c r="O1498" s="4" t="n"/>
    </row>
    <row r="1499">
      <c r="A1499" s="4" t="inlineStr">
        <is>
          <t>MD-1562</t>
        </is>
      </c>
      <c r="B1499" s="21" t="n">
        <v>46172</v>
      </c>
      <c r="C1499" s="4" t="inlineStr">
        <is>
          <t>Vicalvaro</t>
        </is>
      </c>
      <c r="D1499" s="4" t="n">
        <v>83</v>
      </c>
      <c r="E1499" s="4" t="inlineStr">
        <is>
          <t>a reformar</t>
        </is>
      </c>
      <c r="F1499" s="22" t="n">
        <v>186000</v>
      </c>
      <c r="G1499" s="23" t="n">
        <v>2240.96</v>
      </c>
      <c r="H1499" s="22" t="n">
        <v>225717</v>
      </c>
      <c r="I1499" s="23" t="n">
        <v>2719.48</v>
      </c>
      <c r="J1499" s="18" t="n">
        <v>-0.176</v>
      </c>
      <c r="K1499" s="24" t="n">
        <v>94</v>
      </c>
      <c r="L1499" s="4" t="n">
        <v>25</v>
      </c>
      <c r="M1499" s="4" t="inlineStr">
        <is>
          <t>media</t>
        </is>
      </c>
      <c r="N1499" s="4" t="inlineStr">
        <is>
          <t>por debajo de comparables</t>
        </is>
      </c>
      <c r="O1499" s="4" t="n"/>
    </row>
    <row r="1500">
      <c r="A1500" s="4" t="inlineStr">
        <is>
          <t>MD-1796</t>
        </is>
      </c>
      <c r="B1500" s="21" t="n">
        <v>46172</v>
      </c>
      <c r="C1500" s="4" t="inlineStr">
        <is>
          <t>Chamartin</t>
        </is>
      </c>
      <c r="D1500" s="4" t="n">
        <v>174</v>
      </c>
      <c r="E1500" s="4" t="inlineStr">
        <is>
          <t>buen estado</t>
        </is>
      </c>
      <c r="F1500" s="22" t="n">
        <v>1117000</v>
      </c>
      <c r="G1500" s="23" t="n">
        <v>6419.54</v>
      </c>
      <c r="H1500" s="22" t="n">
        <v>1011263</v>
      </c>
      <c r="I1500" s="23" t="n">
        <v>5811.86</v>
      </c>
      <c r="J1500" s="18" t="n">
        <v>0.1046</v>
      </c>
      <c r="K1500" s="24" t="n">
        <v>23.9</v>
      </c>
      <c r="L1500" s="4" t="n">
        <v>19</v>
      </c>
      <c r="M1500" s="4" t="inlineStr">
        <is>
          <t>media</t>
        </is>
      </c>
      <c r="N1500" s="4" t="inlineStr">
        <is>
          <t>por encima de comparables</t>
        </is>
      </c>
      <c r="O1500" s="4" t="n"/>
    </row>
    <row r="1501">
      <c r="A1501" s="4" t="inlineStr">
        <is>
          <t>MD-1984</t>
        </is>
      </c>
      <c r="B1501" s="21" t="n">
        <v>46172</v>
      </c>
      <c r="C1501" s="4" t="inlineStr">
        <is>
          <t>Tetuan</t>
        </is>
      </c>
      <c r="D1501" s="4" t="n">
        <v>77</v>
      </c>
      <c r="E1501" s="4" t="inlineStr">
        <is>
          <t>buen estado</t>
        </is>
      </c>
      <c r="F1501" s="22" t="n">
        <v>358000</v>
      </c>
      <c r="G1501" s="23" t="n">
        <v>4649.35</v>
      </c>
      <c r="H1501" s="22" t="n">
        <v>322967</v>
      </c>
      <c r="I1501" s="23" t="n">
        <v>4194.37</v>
      </c>
      <c r="J1501" s="18" t="n">
        <v>0.1085</v>
      </c>
      <c r="K1501" s="24" t="n">
        <v>22.9</v>
      </c>
      <c r="L1501" s="4" t="n">
        <v>33</v>
      </c>
      <c r="M1501" s="4" t="inlineStr">
        <is>
          <t>media</t>
        </is>
      </c>
      <c r="N1501" s="4" t="inlineStr">
        <is>
          <t>por encima de comparables</t>
        </is>
      </c>
      <c r="O1501" s="4" t="n"/>
    </row>
    <row r="1502">
      <c r="A1502" s="4" t="inlineStr">
        <is>
          <t>MD-0358</t>
        </is>
      </c>
      <c r="B1502" s="21" t="n">
        <v>46172</v>
      </c>
      <c r="C1502" s="4" t="inlineStr">
        <is>
          <t>Puente de Vallecas</t>
        </is>
      </c>
      <c r="D1502" s="4" t="n">
        <v>75</v>
      </c>
      <c r="E1502" s="4" t="inlineStr">
        <is>
          <t>buen estado</t>
        </is>
      </c>
      <c r="F1502" s="22" t="n">
        <v>255000</v>
      </c>
      <c r="G1502" s="23" t="n">
        <v>3400</v>
      </c>
      <c r="H1502" s="22" t="n">
        <v>216284</v>
      </c>
      <c r="I1502" s="23" t="n">
        <v>2883.78</v>
      </c>
      <c r="J1502" s="18" t="n">
        <v>0.179</v>
      </c>
      <c r="K1502" s="24" t="n">
        <v>5.2</v>
      </c>
      <c r="L1502" s="4" t="n">
        <v>46</v>
      </c>
      <c r="M1502" s="4" t="inlineStr">
        <is>
          <t>alta</t>
        </is>
      </c>
      <c r="N1502" s="4" t="inlineStr">
        <is>
          <t>por encima de comparables</t>
        </is>
      </c>
      <c r="O1502" s="4" t="n"/>
    </row>
    <row r="1503">
      <c r="A1503" s="4" t="inlineStr">
        <is>
          <t>MD-1882</t>
        </is>
      </c>
      <c r="B1503" s="21" t="n">
        <v>46172</v>
      </c>
      <c r="C1503" s="4" t="inlineStr">
        <is>
          <t>Hortaleza</t>
        </is>
      </c>
      <c r="D1503" s="4" t="n">
        <v>153</v>
      </c>
      <c r="E1503" s="4" t="inlineStr">
        <is>
          <t>a reformar</t>
        </is>
      </c>
      <c r="F1503" s="22" t="n">
        <v>671000</v>
      </c>
      <c r="G1503" s="23" t="n">
        <v>4385.62</v>
      </c>
      <c r="H1503" s="22" t="n">
        <v>679999</v>
      </c>
      <c r="I1503" s="23" t="n">
        <v>4444.44</v>
      </c>
      <c r="J1503" s="18" t="n">
        <v>-0.0132</v>
      </c>
      <c r="K1503" s="24" t="n">
        <v>53.3</v>
      </c>
      <c r="L1503" s="4" t="n">
        <v>37</v>
      </c>
      <c r="M1503" s="4" t="inlineStr">
        <is>
          <t>media</t>
        </is>
      </c>
      <c r="N1503" s="4" t="inlineStr">
        <is>
          <t>en linea con comparables</t>
        </is>
      </c>
      <c r="O1503" s="4" t="n"/>
    </row>
    <row r="1504">
      <c r="A1504" s="4" t="inlineStr">
        <is>
          <t>MD-0165</t>
        </is>
      </c>
      <c r="B1504" s="21" t="n">
        <v>46172</v>
      </c>
      <c r="C1504" s="4" t="inlineStr">
        <is>
          <t>Latina</t>
        </is>
      </c>
      <c r="D1504" s="4" t="n">
        <v>75</v>
      </c>
      <c r="E1504" s="4" t="inlineStr">
        <is>
          <t>buen estado</t>
        </is>
      </c>
      <c r="F1504" s="22" t="n">
        <v>222000</v>
      </c>
      <c r="G1504" s="23" t="n">
        <v>2960</v>
      </c>
      <c r="H1504" s="22" t="n">
        <v>244352</v>
      </c>
      <c r="I1504" s="23" t="n">
        <v>3258.02</v>
      </c>
      <c r="J1504" s="18" t="n">
        <v>-0.0915</v>
      </c>
      <c r="K1504" s="24" t="n">
        <v>72.90000000000001</v>
      </c>
      <c r="L1504" s="4" t="n">
        <v>48</v>
      </c>
      <c r="M1504" s="4" t="inlineStr">
        <is>
          <t>media</t>
        </is>
      </c>
      <c r="N1504" s="4" t="inlineStr">
        <is>
          <t>en linea con comparables</t>
        </is>
      </c>
      <c r="O1504" s="4" t="n"/>
    </row>
    <row r="1505">
      <c r="A1505" s="4" t="inlineStr">
        <is>
          <t>MD-0868</t>
        </is>
      </c>
      <c r="B1505" s="21" t="n">
        <v>46172</v>
      </c>
      <c r="C1505" s="4" t="inlineStr">
        <is>
          <t>Centro</t>
        </is>
      </c>
      <c r="D1505" s="4" t="n">
        <v>118</v>
      </c>
      <c r="E1505" s="4" t="inlineStr">
        <is>
          <t>buen estado</t>
        </is>
      </c>
      <c r="F1505" s="22" t="n">
        <v>711000</v>
      </c>
      <c r="G1505" s="23" t="n">
        <v>6025.42</v>
      </c>
      <c r="H1505" s="22" t="n">
        <v>743378</v>
      </c>
      <c r="I1505" s="23" t="n">
        <v>6299.81</v>
      </c>
      <c r="J1505" s="18" t="n">
        <v>-0.0436</v>
      </c>
      <c r="K1505" s="24" t="n">
        <v>60.9</v>
      </c>
      <c r="L1505" s="4" t="n">
        <v>17</v>
      </c>
      <c r="M1505" s="4" t="inlineStr">
        <is>
          <t>alta</t>
        </is>
      </c>
      <c r="N1505" s="4" t="inlineStr">
        <is>
          <t>en linea con comparables</t>
        </is>
      </c>
      <c r="O1505" s="4" t="n"/>
    </row>
    <row r="1506">
      <c r="A1506" s="4" t="inlineStr">
        <is>
          <t>MD-1600</t>
        </is>
      </c>
      <c r="B1506" s="21" t="n">
        <v>46172</v>
      </c>
      <c r="C1506" s="4" t="inlineStr">
        <is>
          <t>Hortaleza</t>
        </is>
      </c>
      <c r="D1506" s="4" t="n">
        <v>29</v>
      </c>
      <c r="E1506" s="4" t="inlineStr">
        <is>
          <t>buen estado</t>
        </is>
      </c>
      <c r="F1506" s="22" t="n">
        <v>155000</v>
      </c>
      <c r="G1506" s="23" t="n">
        <v>5344.83</v>
      </c>
      <c r="H1506" s="22" t="n"/>
      <c r="I1506" s="23" t="n"/>
      <c r="J1506" s="18" t="n"/>
      <c r="K1506" s="24" t="n"/>
      <c r="L1506" s="4" t="n">
        <v>0</v>
      </c>
      <c r="M1506" s="4" t="inlineStr">
        <is>
          <t>sin muestra</t>
        </is>
      </c>
      <c r="N1506" s="4" t="inlineStr">
        <is>
          <t>no valorable</t>
        </is>
      </c>
      <c r="O1506" s="4" t="inlineStr">
        <is>
          <t>segmento con pocas operaciones comparables</t>
        </is>
      </c>
    </row>
    <row r="1507">
      <c r="A1507" s="4" t="inlineStr">
        <is>
          <t>MD-1792</t>
        </is>
      </c>
      <c r="B1507" s="21" t="n">
        <v>46173</v>
      </c>
      <c r="C1507" s="4" t="inlineStr">
        <is>
          <t>Ciudad Lineal</t>
        </is>
      </c>
      <c r="D1507" s="4" t="n">
        <v>99</v>
      </c>
      <c r="E1507" s="4" t="inlineStr">
        <is>
          <t>reformado</t>
        </is>
      </c>
      <c r="F1507" s="22" t="n">
        <v>646000</v>
      </c>
      <c r="G1507" s="23" t="n">
        <v>6525.25</v>
      </c>
      <c r="H1507" s="22" t="n">
        <v>528425</v>
      </c>
      <c r="I1507" s="23" t="n">
        <v>5337.63</v>
      </c>
      <c r="J1507" s="18" t="n">
        <v>0.2225</v>
      </c>
      <c r="K1507" s="24" t="n">
        <v>0</v>
      </c>
      <c r="L1507" s="4" t="n">
        <v>20</v>
      </c>
      <c r="M1507" s="4" t="inlineStr">
        <is>
          <t>alta</t>
        </is>
      </c>
      <c r="N1507" s="4" t="inlineStr">
        <is>
          <t>por encima de comparables</t>
        </is>
      </c>
      <c r="O1507" s="4" t="n"/>
    </row>
    <row r="1508">
      <c r="A1508" s="4" t="inlineStr">
        <is>
          <t>MD-0005</t>
        </is>
      </c>
      <c r="B1508" s="21" t="n">
        <v>46173</v>
      </c>
      <c r="C1508" s="4" t="inlineStr">
        <is>
          <t>Moratalaz</t>
        </is>
      </c>
      <c r="D1508" s="4" t="n">
        <v>43</v>
      </c>
      <c r="E1508" s="4" t="inlineStr">
        <is>
          <t>a reformar</t>
        </is>
      </c>
      <c r="F1508" s="22" t="n">
        <v>87000</v>
      </c>
      <c r="G1508" s="23" t="n">
        <v>2023.26</v>
      </c>
      <c r="H1508" s="22" t="n"/>
      <c r="I1508" s="23" t="n"/>
      <c r="J1508" s="18" t="n"/>
      <c r="K1508" s="24" t="n"/>
      <c r="L1508" s="4" t="n">
        <v>1</v>
      </c>
      <c r="M1508" s="4" t="inlineStr">
        <is>
          <t>sin muestra</t>
        </is>
      </c>
      <c r="N1508" s="4" t="inlineStr">
        <is>
          <t>no valorable</t>
        </is>
      </c>
      <c r="O1508" s="4" t="inlineStr">
        <is>
          <t>segmento con pocas operaciones comparables</t>
        </is>
      </c>
    </row>
    <row r="1509">
      <c r="A1509" s="4" t="inlineStr">
        <is>
          <t>MD-0432</t>
        </is>
      </c>
      <c r="B1509" s="21" t="n">
        <v>46173</v>
      </c>
      <c r="C1509" s="4" t="inlineStr">
        <is>
          <t>Fuencarral-El Pardo</t>
        </is>
      </c>
      <c r="D1509" s="4" t="n">
        <v>65</v>
      </c>
      <c r="E1509" s="4" t="inlineStr">
        <is>
          <t>reformado</t>
        </is>
      </c>
      <c r="F1509" s="22" t="n">
        <v>450000</v>
      </c>
      <c r="G1509" s="23" t="n">
        <v>6923.08</v>
      </c>
      <c r="H1509" s="22" t="n">
        <v>403343</v>
      </c>
      <c r="I1509" s="23" t="n">
        <v>6205.27</v>
      </c>
      <c r="J1509" s="18" t="n">
        <v>0.1157</v>
      </c>
      <c r="K1509" s="24" t="n">
        <v>21.1</v>
      </c>
      <c r="L1509" s="4" t="n">
        <v>21</v>
      </c>
      <c r="M1509" s="4" t="inlineStr">
        <is>
          <t>media</t>
        </is>
      </c>
      <c r="N1509" s="4" t="inlineStr">
        <is>
          <t>por encima de comparables</t>
        </is>
      </c>
      <c r="O1509" s="4" t="n"/>
    </row>
    <row r="1510">
      <c r="A1510" s="4" t="inlineStr">
        <is>
          <t>MD-0060</t>
        </is>
      </c>
      <c r="B1510" s="21" t="n">
        <v>46173</v>
      </c>
      <c r="C1510" s="4" t="inlineStr">
        <is>
          <t>Puente de Vallecas</t>
        </is>
      </c>
      <c r="D1510" s="4" t="n">
        <v>71</v>
      </c>
      <c r="E1510" s="4" t="inlineStr">
        <is>
          <t>buen estado</t>
        </is>
      </c>
      <c r="F1510" s="22" t="n">
        <v>234000</v>
      </c>
      <c r="G1510" s="23" t="n">
        <v>3295.77</v>
      </c>
      <c r="H1510" s="22" t="n">
        <v>206025</v>
      </c>
      <c r="I1510" s="23" t="n">
        <v>2901.76</v>
      </c>
      <c r="J1510" s="18" t="n">
        <v>0.1358</v>
      </c>
      <c r="K1510" s="24" t="n">
        <v>16.1</v>
      </c>
      <c r="L1510" s="4" t="n">
        <v>50</v>
      </c>
      <c r="M1510" s="4" t="inlineStr">
        <is>
          <t>alta</t>
        </is>
      </c>
      <c r="N1510" s="4" t="inlineStr">
        <is>
          <t>por encima de comparables</t>
        </is>
      </c>
      <c r="O1510" s="4" t="n"/>
    </row>
    <row r="1511">
      <c r="A1511" s="4" t="inlineStr">
        <is>
          <t>MD-0180</t>
        </is>
      </c>
      <c r="B1511" s="21" t="n">
        <v>46173</v>
      </c>
      <c r="C1511" s="4" t="inlineStr">
        <is>
          <t>Fuencarral-El Pardo</t>
        </is>
      </c>
      <c r="D1511" s="4" t="n">
        <v>57</v>
      </c>
      <c r="E1511" s="4" t="inlineStr">
        <is>
          <t>buen estado</t>
        </is>
      </c>
      <c r="F1511" s="22" t="n">
        <v>324000</v>
      </c>
      <c r="G1511" s="23" t="n">
        <v>5684.21</v>
      </c>
      <c r="H1511" s="22" t="n">
        <v>267844</v>
      </c>
      <c r="I1511" s="23" t="n">
        <v>4699.02</v>
      </c>
      <c r="J1511" s="18" t="n">
        <v>0.2097</v>
      </c>
      <c r="K1511" s="24" t="n">
        <v>0</v>
      </c>
      <c r="L1511" s="4" t="n">
        <v>25</v>
      </c>
      <c r="M1511" s="4" t="inlineStr">
        <is>
          <t>alta</t>
        </is>
      </c>
      <c r="N1511" s="4" t="inlineStr">
        <is>
          <t>por encima de comparables</t>
        </is>
      </c>
      <c r="O1511" s="4" t="n"/>
    </row>
    <row r="1512">
      <c r="A1512" s="4" t="inlineStr">
        <is>
          <t>MD-0857</t>
        </is>
      </c>
      <c r="B1512" s="21" t="n">
        <v>46173</v>
      </c>
      <c r="C1512" s="4" t="inlineStr">
        <is>
          <t>Latina</t>
        </is>
      </c>
      <c r="D1512" s="4" t="n">
        <v>71</v>
      </c>
      <c r="E1512" s="4" t="inlineStr">
        <is>
          <t>buen estado</t>
        </is>
      </c>
      <c r="F1512" s="22" t="n">
        <v>170000</v>
      </c>
      <c r="G1512" s="23" t="n">
        <v>2394.37</v>
      </c>
      <c r="H1512" s="22" t="n">
        <v>231113</v>
      </c>
      <c r="I1512" s="23" t="n">
        <v>3255.11</v>
      </c>
      <c r="J1512" s="18" t="n">
        <v>-0.2644</v>
      </c>
      <c r="K1512" s="24" t="n">
        <v>100</v>
      </c>
      <c r="L1512" s="4" t="n">
        <v>50</v>
      </c>
      <c r="M1512" s="4" t="inlineStr">
        <is>
          <t>media</t>
        </is>
      </c>
      <c r="N1512" s="4" t="inlineStr">
        <is>
          <t>por debajo de comparables</t>
        </is>
      </c>
      <c r="O1512" s="4" t="n"/>
    </row>
    <row r="1513">
      <c r="A1513" s="4" t="inlineStr">
        <is>
          <t>MD-0960</t>
        </is>
      </c>
      <c r="B1513" s="21" t="n">
        <v>46173</v>
      </c>
      <c r="C1513" s="4" t="inlineStr">
        <is>
          <t>Puente de Vallecas</t>
        </is>
      </c>
      <c r="D1513" s="4" t="n">
        <v>33</v>
      </c>
      <c r="E1513" s="4" t="inlineStr">
        <is>
          <t>reformado</t>
        </is>
      </c>
      <c r="F1513" s="22" t="n">
        <v>107000</v>
      </c>
      <c r="G1513" s="23" t="n">
        <v>3242.42</v>
      </c>
      <c r="H1513" s="22" t="n">
        <v>103824</v>
      </c>
      <c r="I1513" s="23" t="n">
        <v>3146.18</v>
      </c>
      <c r="J1513" s="18" t="n">
        <v>0.0306</v>
      </c>
      <c r="K1513" s="24" t="n">
        <v>42.4</v>
      </c>
      <c r="L1513" s="4" t="n">
        <v>21</v>
      </c>
      <c r="M1513" s="4" t="inlineStr">
        <is>
          <t>alta</t>
        </is>
      </c>
      <c r="N1513" s="4" t="inlineStr">
        <is>
          <t>en linea con comparables</t>
        </is>
      </c>
      <c r="O1513" s="4" t="n"/>
    </row>
    <row r="1514">
      <c r="A1514" s="4" t="inlineStr">
        <is>
          <t>MD-1999</t>
        </is>
      </c>
      <c r="B1514" s="21" t="n">
        <v>46173</v>
      </c>
      <c r="C1514" s="4" t="inlineStr">
        <is>
          <t>Puente de Vallecas</t>
        </is>
      </c>
      <c r="D1514" s="4" t="n">
        <v>43</v>
      </c>
      <c r="E1514" s="4" t="inlineStr">
        <is>
          <t>buen estado</t>
        </is>
      </c>
      <c r="F1514" s="22" t="n">
        <v>122000</v>
      </c>
      <c r="G1514" s="23" t="n">
        <v>2837.21</v>
      </c>
      <c r="H1514" s="22" t="n">
        <v>105762</v>
      </c>
      <c r="I1514" s="23" t="n">
        <v>2459.58</v>
      </c>
      <c r="J1514" s="18" t="n">
        <v>0.1535</v>
      </c>
      <c r="K1514" s="24" t="n">
        <v>11.6</v>
      </c>
      <c r="L1514" s="4" t="n">
        <v>40</v>
      </c>
      <c r="M1514" s="4" t="inlineStr">
        <is>
          <t>alta</t>
        </is>
      </c>
      <c r="N1514" s="4" t="inlineStr">
        <is>
          <t>por encima de comparables</t>
        </is>
      </c>
      <c r="O1514" s="4" t="n"/>
    </row>
    <row r="1515">
      <c r="A1515" s="4" t="inlineStr">
        <is>
          <t>MD-0339</t>
        </is>
      </c>
      <c r="B1515" s="21" t="n">
        <v>46174</v>
      </c>
      <c r="C1515" s="4" t="inlineStr">
        <is>
          <t>Puente de Vallecas</t>
        </is>
      </c>
      <c r="D1515" s="4" t="n">
        <v>72</v>
      </c>
      <c r="E1515" s="4" t="inlineStr">
        <is>
          <t>obra nueva</t>
        </is>
      </c>
      <c r="F1515" s="22" t="n">
        <v>234000</v>
      </c>
      <c r="G1515" s="23" t="n">
        <v>3250</v>
      </c>
      <c r="H1515" s="22" t="n">
        <v>234531</v>
      </c>
      <c r="I1515" s="23" t="n">
        <v>3257.38</v>
      </c>
      <c r="J1515" s="18" t="n">
        <v>-0.0023</v>
      </c>
      <c r="K1515" s="24" t="n">
        <v>50.6</v>
      </c>
      <c r="L1515" s="4" t="n">
        <v>50</v>
      </c>
      <c r="M1515" s="4" t="inlineStr">
        <is>
          <t>alta</t>
        </is>
      </c>
      <c r="N1515" s="4" t="inlineStr">
        <is>
          <t>en linea con comparables</t>
        </is>
      </c>
      <c r="O1515" s="4" t="n"/>
    </row>
    <row r="1516">
      <c r="A1516" s="4" t="inlineStr">
        <is>
          <t>MD-0620</t>
        </is>
      </c>
      <c r="B1516" s="21" t="n">
        <v>46174</v>
      </c>
      <c r="C1516" s="4" t="inlineStr">
        <is>
          <t>Puente de Vallecas</t>
        </is>
      </c>
      <c r="D1516" s="4" t="n">
        <v>41</v>
      </c>
      <c r="E1516" s="4" t="inlineStr">
        <is>
          <t>reformado</t>
        </is>
      </c>
      <c r="F1516" s="22" t="n">
        <v>155000</v>
      </c>
      <c r="G1516" s="23" t="n">
        <v>3780.49</v>
      </c>
      <c r="H1516" s="22" t="n">
        <v>131470</v>
      </c>
      <c r="I1516" s="23" t="n">
        <v>3206.58</v>
      </c>
      <c r="J1516" s="18" t="n">
        <v>0.179</v>
      </c>
      <c r="K1516" s="24" t="n">
        <v>5.3</v>
      </c>
      <c r="L1516" s="4" t="n">
        <v>37</v>
      </c>
      <c r="M1516" s="4" t="inlineStr">
        <is>
          <t>alta</t>
        </is>
      </c>
      <c r="N1516" s="4" t="inlineStr">
        <is>
          <t>por encima de comparables</t>
        </is>
      </c>
      <c r="O1516" s="4" t="n"/>
    </row>
    <row r="1517">
      <c r="A1517" s="4" t="inlineStr">
        <is>
          <t>MD-1573</t>
        </is>
      </c>
      <c r="B1517" s="21" t="n">
        <v>46175</v>
      </c>
      <c r="C1517" s="4" t="inlineStr">
        <is>
          <t>Arganzuela</t>
        </is>
      </c>
      <c r="D1517" s="4" t="n">
        <v>134</v>
      </c>
      <c r="E1517" s="4" t="inlineStr">
        <is>
          <t>buen estado</t>
        </is>
      </c>
      <c r="F1517" s="22" t="n">
        <v>680000</v>
      </c>
      <c r="G1517" s="23" t="n">
        <v>5074.63</v>
      </c>
      <c r="H1517" s="22" t="n">
        <v>824247</v>
      </c>
      <c r="I1517" s="23" t="n">
        <v>6151.1</v>
      </c>
      <c r="J1517" s="18" t="n">
        <v>-0.175</v>
      </c>
      <c r="K1517" s="24" t="n">
        <v>93.8</v>
      </c>
      <c r="L1517" s="4" t="n">
        <v>8</v>
      </c>
      <c r="M1517" s="4" t="inlineStr">
        <is>
          <t>media</t>
        </is>
      </c>
      <c r="N1517" s="4" t="inlineStr">
        <is>
          <t>por debajo de comparables</t>
        </is>
      </c>
      <c r="O1517" s="4" t="n"/>
    </row>
    <row r="1518">
      <c r="A1518" s="4" t="inlineStr">
        <is>
          <t>MD-1733</t>
        </is>
      </c>
      <c r="B1518" s="21" t="n">
        <v>46175</v>
      </c>
      <c r="C1518" s="4" t="inlineStr">
        <is>
          <t>Puente de Vallecas</t>
        </is>
      </c>
      <c r="D1518" s="4" t="n">
        <v>31</v>
      </c>
      <c r="E1518" s="4" t="inlineStr">
        <is>
          <t>buen estado</t>
        </is>
      </c>
      <c r="F1518" s="22" t="n">
        <v>80000</v>
      </c>
      <c r="G1518" s="23" t="n">
        <v>2580.65</v>
      </c>
      <c r="H1518" s="22" t="n">
        <v>79930</v>
      </c>
      <c r="I1518" s="23" t="n">
        <v>2578.38</v>
      </c>
      <c r="J1518" s="18" t="n">
        <v>0.0009</v>
      </c>
      <c r="K1518" s="24" t="n">
        <v>49.8</v>
      </c>
      <c r="L1518" s="4" t="n">
        <v>15</v>
      </c>
      <c r="M1518" s="4" t="inlineStr">
        <is>
          <t>alta</t>
        </is>
      </c>
      <c r="N1518" s="4" t="inlineStr">
        <is>
          <t>en linea con comparables</t>
        </is>
      </c>
      <c r="O1518" s="4" t="n"/>
    </row>
    <row r="1519">
      <c r="A1519" s="4" t="inlineStr">
        <is>
          <t>MD-1337</t>
        </is>
      </c>
      <c r="B1519" s="21" t="n">
        <v>46175</v>
      </c>
      <c r="C1519" s="4" t="inlineStr">
        <is>
          <t>Moncloa-Aravaca</t>
        </is>
      </c>
      <c r="D1519" s="4" t="n">
        <v>79</v>
      </c>
      <c r="E1519" s="4" t="inlineStr">
        <is>
          <t>buen estado</t>
        </is>
      </c>
      <c r="F1519" s="22" t="n">
        <v>405000</v>
      </c>
      <c r="G1519" s="23" t="n">
        <v>5126.58</v>
      </c>
      <c r="H1519" s="22" t="n">
        <v>434361</v>
      </c>
      <c r="I1519" s="23" t="n">
        <v>5498.24</v>
      </c>
      <c r="J1519" s="18" t="n">
        <v>-0.06759999999999999</v>
      </c>
      <c r="K1519" s="24" t="n">
        <v>66.90000000000001</v>
      </c>
      <c r="L1519" s="4" t="n">
        <v>9</v>
      </c>
      <c r="M1519" s="4" t="inlineStr">
        <is>
          <t>media</t>
        </is>
      </c>
      <c r="N1519" s="4" t="inlineStr">
        <is>
          <t>en linea con comparables</t>
        </is>
      </c>
      <c r="O1519" s="4" t="n"/>
    </row>
    <row r="1520">
      <c r="A1520" s="4" t="inlineStr">
        <is>
          <t>MD-1085</t>
        </is>
      </c>
      <c r="B1520" s="21" t="n">
        <v>46175</v>
      </c>
      <c r="C1520" s="4" t="inlineStr">
        <is>
          <t>Moncloa-Aravaca</t>
        </is>
      </c>
      <c r="D1520" s="4" t="n">
        <v>128</v>
      </c>
      <c r="E1520" s="4" t="inlineStr">
        <is>
          <t>reformado</t>
        </is>
      </c>
      <c r="F1520" s="22" t="n">
        <v>866000</v>
      </c>
      <c r="G1520" s="23" t="n">
        <v>6765.62</v>
      </c>
      <c r="H1520" s="22" t="n">
        <v>884960</v>
      </c>
      <c r="I1520" s="23" t="n">
        <v>6913.75</v>
      </c>
      <c r="J1520" s="18" t="n">
        <v>-0.0214</v>
      </c>
      <c r="K1520" s="24" t="n">
        <v>55.4</v>
      </c>
      <c r="L1520" s="4" t="n">
        <v>7</v>
      </c>
      <c r="M1520" s="4" t="inlineStr">
        <is>
          <t>baja</t>
        </is>
      </c>
      <c r="N1520" s="4" t="inlineStr">
        <is>
          <t>en linea con comparables</t>
        </is>
      </c>
      <c r="O1520" s="4" t="n"/>
    </row>
    <row r="1521">
      <c r="A1521" s="4" t="inlineStr">
        <is>
          <t>MD-0654</t>
        </is>
      </c>
      <c r="B1521" s="21" t="n">
        <v>46176</v>
      </c>
      <c r="C1521" s="4" t="inlineStr">
        <is>
          <t>Vicalvaro</t>
        </is>
      </c>
      <c r="D1521" s="4" t="n">
        <v>58</v>
      </c>
      <c r="E1521" s="4" t="inlineStr">
        <is>
          <t>reformado</t>
        </is>
      </c>
      <c r="F1521" s="22" t="n">
        <v>234000</v>
      </c>
      <c r="G1521" s="23" t="n">
        <v>4034.48</v>
      </c>
      <c r="H1521" s="22" t="n">
        <v>241153</v>
      </c>
      <c r="I1521" s="23" t="n">
        <v>4157.8</v>
      </c>
      <c r="J1521" s="18" t="n">
        <v>-0.0297</v>
      </c>
      <c r="K1521" s="24" t="n">
        <v>57.4</v>
      </c>
      <c r="L1521" s="4" t="n">
        <v>11</v>
      </c>
      <c r="M1521" s="4" t="inlineStr">
        <is>
          <t>media</t>
        </is>
      </c>
      <c r="N1521" s="4" t="inlineStr">
        <is>
          <t>en linea con comparables</t>
        </is>
      </c>
      <c r="O1521" s="4" t="n"/>
    </row>
    <row r="1522">
      <c r="A1522" s="4" t="inlineStr">
        <is>
          <t>MD-1350</t>
        </is>
      </c>
      <c r="B1522" s="21" t="n">
        <v>46176</v>
      </c>
      <c r="C1522" s="4" t="inlineStr">
        <is>
          <t>Retiro</t>
        </is>
      </c>
      <c r="D1522" s="4" t="n">
        <v>167</v>
      </c>
      <c r="E1522" s="4" t="inlineStr">
        <is>
          <t>buen estado</t>
        </is>
      </c>
      <c r="F1522" s="22" t="n">
        <v>776000</v>
      </c>
      <c r="G1522" s="23" t="n">
        <v>4646.71</v>
      </c>
      <c r="H1522" s="22" t="n">
        <v>790099</v>
      </c>
      <c r="I1522" s="23" t="n">
        <v>4731.13</v>
      </c>
      <c r="J1522" s="18" t="n">
        <v>-0.0178</v>
      </c>
      <c r="K1522" s="24" t="n">
        <v>54.5</v>
      </c>
      <c r="L1522" s="4" t="n">
        <v>15</v>
      </c>
      <c r="M1522" s="4" t="inlineStr">
        <is>
          <t>baja</t>
        </is>
      </c>
      <c r="N1522" s="4" t="inlineStr">
        <is>
          <t>en linea con comparables</t>
        </is>
      </c>
      <c r="O1522" s="4" t="n"/>
    </row>
    <row r="1523">
      <c r="A1523" s="4" t="inlineStr">
        <is>
          <t>MD-0778</t>
        </is>
      </c>
      <c r="B1523" s="21" t="n">
        <v>46177</v>
      </c>
      <c r="C1523" s="4" t="inlineStr">
        <is>
          <t>Vicalvaro</t>
        </is>
      </c>
      <c r="D1523" s="4" t="n">
        <v>100</v>
      </c>
      <c r="E1523" s="4" t="inlineStr">
        <is>
          <t>a reformar</t>
        </is>
      </c>
      <c r="F1523" s="22" t="n">
        <v>338000</v>
      </c>
      <c r="G1523" s="23" t="n">
        <v>3380</v>
      </c>
      <c r="H1523" s="22" t="n">
        <v>303164</v>
      </c>
      <c r="I1523" s="23" t="n">
        <v>3031.64</v>
      </c>
      <c r="J1523" s="18" t="n">
        <v>0.1149</v>
      </c>
      <c r="K1523" s="24" t="n">
        <v>21.3</v>
      </c>
      <c r="L1523" s="4" t="n">
        <v>31</v>
      </c>
      <c r="M1523" s="4" t="inlineStr">
        <is>
          <t>alta</t>
        </is>
      </c>
      <c r="N1523" s="4" t="inlineStr">
        <is>
          <t>por encima de comparables</t>
        </is>
      </c>
      <c r="O1523" s="4" t="n"/>
    </row>
    <row r="1524">
      <c r="A1524" s="4" t="inlineStr">
        <is>
          <t>MD-1972</t>
        </is>
      </c>
      <c r="B1524" s="21" t="n">
        <v>46177</v>
      </c>
      <c r="C1524" s="4" t="inlineStr">
        <is>
          <t>Centro</t>
        </is>
      </c>
      <c r="D1524" s="4" t="n">
        <v>132</v>
      </c>
      <c r="E1524" s="4" t="inlineStr">
        <is>
          <t>reformado</t>
        </is>
      </c>
      <c r="F1524" s="22" t="n">
        <v>907000</v>
      </c>
      <c r="G1524" s="23" t="n">
        <v>6871.21</v>
      </c>
      <c r="H1524" s="22" t="n">
        <v>1107268</v>
      </c>
      <c r="I1524" s="23" t="n">
        <v>8388.389999999999</v>
      </c>
      <c r="J1524" s="18" t="n">
        <v>-0.1809</v>
      </c>
      <c r="K1524" s="24" t="n">
        <v>95.2</v>
      </c>
      <c r="L1524" s="4" t="n">
        <v>14</v>
      </c>
      <c r="M1524" s="4" t="inlineStr">
        <is>
          <t>media</t>
        </is>
      </c>
      <c r="N1524" s="4" t="inlineStr">
        <is>
          <t>por debajo de comparables</t>
        </is>
      </c>
      <c r="O1524" s="4" t="n"/>
    </row>
    <row r="1525">
      <c r="A1525" s="4" t="inlineStr">
        <is>
          <t>MD-0331</t>
        </is>
      </c>
      <c r="B1525" s="21" t="n">
        <v>46177</v>
      </c>
      <c r="C1525" s="4" t="inlineStr">
        <is>
          <t>Ciudad Lineal</t>
        </is>
      </c>
      <c r="D1525" s="4" t="n">
        <v>107</v>
      </c>
      <c r="E1525" s="4" t="inlineStr">
        <is>
          <t>a reformar</t>
        </is>
      </c>
      <c r="F1525" s="22" t="n">
        <v>368000</v>
      </c>
      <c r="G1525" s="23" t="n">
        <v>3439.25</v>
      </c>
      <c r="H1525" s="22" t="n">
        <v>447236</v>
      </c>
      <c r="I1525" s="23" t="n">
        <v>4179.78</v>
      </c>
      <c r="J1525" s="18" t="n">
        <v>-0.1772</v>
      </c>
      <c r="K1525" s="24" t="n">
        <v>94.3</v>
      </c>
      <c r="L1525" s="4" t="n">
        <v>17</v>
      </c>
      <c r="M1525" s="4" t="inlineStr">
        <is>
          <t>alta</t>
        </is>
      </c>
      <c r="N1525" s="4" t="inlineStr">
        <is>
          <t>por debajo de comparables</t>
        </is>
      </c>
      <c r="O1525" s="4" t="n"/>
    </row>
    <row r="1526">
      <c r="A1526" s="4" t="inlineStr">
        <is>
          <t>MD-0194</t>
        </is>
      </c>
      <c r="B1526" s="21" t="n">
        <v>46177</v>
      </c>
      <c r="C1526" s="4" t="inlineStr">
        <is>
          <t>Puente de Vallecas</t>
        </is>
      </c>
      <c r="D1526" s="4" t="n">
        <v>41</v>
      </c>
      <c r="E1526" s="4" t="inlineStr">
        <is>
          <t>buen estado</t>
        </is>
      </c>
      <c r="F1526" s="22" t="n">
        <v>108000</v>
      </c>
      <c r="G1526" s="23" t="n">
        <v>2634.15</v>
      </c>
      <c r="H1526" s="22" t="n">
        <v>118325</v>
      </c>
      <c r="I1526" s="23" t="n">
        <v>2885.99</v>
      </c>
      <c r="J1526" s="18" t="n">
        <v>-0.0873</v>
      </c>
      <c r="K1526" s="24" t="n">
        <v>71.8</v>
      </c>
      <c r="L1526" s="4" t="n">
        <v>38</v>
      </c>
      <c r="M1526" s="4" t="inlineStr">
        <is>
          <t>alta</t>
        </is>
      </c>
      <c r="N1526" s="4" t="inlineStr">
        <is>
          <t>en linea con comparables</t>
        </is>
      </c>
      <c r="O1526" s="4" t="n"/>
    </row>
    <row r="1527">
      <c r="A1527" s="4" t="inlineStr">
        <is>
          <t>MD-1968</t>
        </is>
      </c>
      <c r="B1527" s="21" t="n">
        <v>46177</v>
      </c>
      <c r="C1527" s="4" t="inlineStr">
        <is>
          <t>Hortaleza</t>
        </is>
      </c>
      <c r="D1527" s="4" t="n">
        <v>51</v>
      </c>
      <c r="E1527" s="4" t="inlineStr">
        <is>
          <t>reformado</t>
        </is>
      </c>
      <c r="F1527" s="22" t="n">
        <v>324000</v>
      </c>
      <c r="G1527" s="23" t="n">
        <v>6352.94</v>
      </c>
      <c r="H1527" s="22" t="n">
        <v>299787</v>
      </c>
      <c r="I1527" s="23" t="n">
        <v>5878.18</v>
      </c>
      <c r="J1527" s="18" t="n">
        <v>0.0808</v>
      </c>
      <c r="K1527" s="24" t="n">
        <v>29.8</v>
      </c>
      <c r="L1527" s="4" t="n">
        <v>10</v>
      </c>
      <c r="M1527" s="4" t="inlineStr">
        <is>
          <t>media</t>
        </is>
      </c>
      <c r="N1527" s="4" t="inlineStr">
        <is>
          <t>en linea con comparables</t>
        </is>
      </c>
      <c r="O1527" s="4" t="n"/>
    </row>
    <row r="1528">
      <c r="A1528" s="4" t="inlineStr">
        <is>
          <t>MD-1839</t>
        </is>
      </c>
      <c r="B1528" s="21" t="n">
        <v>46177</v>
      </c>
      <c r="C1528" s="4" t="inlineStr">
        <is>
          <t>Chamartin</t>
        </is>
      </c>
      <c r="D1528" s="4" t="n">
        <v>118</v>
      </c>
      <c r="E1528" s="4" t="inlineStr">
        <is>
          <t>buen estado</t>
        </is>
      </c>
      <c r="F1528" s="22" t="n">
        <v>639000</v>
      </c>
      <c r="G1528" s="23" t="n">
        <v>5415.25</v>
      </c>
      <c r="H1528" s="22" t="n">
        <v>845065</v>
      </c>
      <c r="I1528" s="23" t="n">
        <v>7161.57</v>
      </c>
      <c r="J1528" s="18" t="n">
        <v>-0.2438</v>
      </c>
      <c r="K1528" s="24" t="n">
        <v>100</v>
      </c>
      <c r="L1528" s="4" t="n">
        <v>21</v>
      </c>
      <c r="M1528" s="4" t="inlineStr">
        <is>
          <t>alta</t>
        </is>
      </c>
      <c r="N1528" s="4" t="inlineStr">
        <is>
          <t>por debajo de comparables</t>
        </is>
      </c>
      <c r="O1528" s="4" t="n"/>
    </row>
    <row r="1529">
      <c r="A1529" s="4" t="inlineStr">
        <is>
          <t>MD-1009</t>
        </is>
      </c>
      <c r="B1529" s="21" t="n">
        <v>46178</v>
      </c>
      <c r="C1529" s="4" t="inlineStr">
        <is>
          <t>Chamberi</t>
        </is>
      </c>
      <c r="D1529" s="4" t="n">
        <v>101</v>
      </c>
      <c r="E1529" s="4" t="inlineStr">
        <is>
          <t>buen estado</t>
        </is>
      </c>
      <c r="F1529" s="22" t="n">
        <v>761000</v>
      </c>
      <c r="G1529" s="23" t="n">
        <v>7534.65</v>
      </c>
      <c r="H1529" s="22" t="n">
        <v>859016</v>
      </c>
      <c r="I1529" s="23" t="n">
        <v>8505.110000000001</v>
      </c>
      <c r="J1529" s="18" t="n">
        <v>-0.1141</v>
      </c>
      <c r="K1529" s="24" t="n">
        <v>78.5</v>
      </c>
      <c r="L1529" s="4" t="n">
        <v>10</v>
      </c>
      <c r="M1529" s="4" t="inlineStr">
        <is>
          <t>media</t>
        </is>
      </c>
      <c r="N1529" s="4" t="inlineStr">
        <is>
          <t>por debajo de comparables</t>
        </is>
      </c>
      <c r="O1529" s="4" t="n"/>
    </row>
    <row r="1530">
      <c r="A1530" s="4" t="inlineStr">
        <is>
          <t>MD-1486</t>
        </is>
      </c>
      <c r="B1530" s="21" t="n">
        <v>46178</v>
      </c>
      <c r="C1530" s="4" t="inlineStr">
        <is>
          <t>Centro</t>
        </is>
      </c>
      <c r="D1530" s="4" t="n">
        <v>78</v>
      </c>
      <c r="E1530" s="4" t="inlineStr">
        <is>
          <t>a reformar</t>
        </is>
      </c>
      <c r="F1530" s="22" t="n">
        <v>403000</v>
      </c>
      <c r="G1530" s="23" t="n">
        <v>5166.67</v>
      </c>
      <c r="H1530" s="22" t="n">
        <v>470646</v>
      </c>
      <c r="I1530" s="23" t="n">
        <v>6033.93</v>
      </c>
      <c r="J1530" s="18" t="n">
        <v>-0.1437</v>
      </c>
      <c r="K1530" s="24" t="n">
        <v>85.90000000000001</v>
      </c>
      <c r="L1530" s="4" t="n">
        <v>21</v>
      </c>
      <c r="M1530" s="4" t="inlineStr">
        <is>
          <t>alta</t>
        </is>
      </c>
      <c r="N1530" s="4" t="inlineStr">
        <is>
          <t>por debajo de comparables</t>
        </is>
      </c>
      <c r="O1530" s="4" t="n"/>
    </row>
    <row r="1531">
      <c r="A1531" s="4" t="inlineStr">
        <is>
          <t>MD-1912</t>
        </is>
      </c>
      <c r="B1531" s="21" t="n">
        <v>46178</v>
      </c>
      <c r="C1531" s="4" t="inlineStr">
        <is>
          <t>Moratalaz</t>
        </is>
      </c>
      <c r="D1531" s="4" t="n">
        <v>95</v>
      </c>
      <c r="E1531" s="4" t="inlineStr">
        <is>
          <t>buen estado</t>
        </is>
      </c>
      <c r="F1531" s="22" t="n">
        <v>369000</v>
      </c>
      <c r="G1531" s="23" t="n">
        <v>3884.21</v>
      </c>
      <c r="H1531" s="22" t="n">
        <v>376339</v>
      </c>
      <c r="I1531" s="23" t="n">
        <v>3961.47</v>
      </c>
      <c r="J1531" s="18" t="n">
        <v>-0.0195</v>
      </c>
      <c r="K1531" s="24" t="n">
        <v>54.9</v>
      </c>
      <c r="L1531" s="4" t="n">
        <v>18</v>
      </c>
      <c r="M1531" s="4" t="inlineStr">
        <is>
          <t>alta</t>
        </is>
      </c>
      <c r="N1531" s="4" t="inlineStr">
        <is>
          <t>en linea con comparables</t>
        </is>
      </c>
      <c r="O1531" s="4" t="n"/>
    </row>
    <row r="1532">
      <c r="A1532" s="4" t="inlineStr">
        <is>
          <t>MD-0345</t>
        </is>
      </c>
      <c r="B1532" s="21" t="n">
        <v>46178</v>
      </c>
      <c r="C1532" s="4" t="inlineStr">
        <is>
          <t>Vicalvaro</t>
        </is>
      </c>
      <c r="D1532" s="4" t="n">
        <v>85</v>
      </c>
      <c r="E1532" s="4" t="inlineStr">
        <is>
          <t>buen estado</t>
        </is>
      </c>
      <c r="F1532" s="22" t="n">
        <v>329000</v>
      </c>
      <c r="G1532" s="23" t="n">
        <v>3870.59</v>
      </c>
      <c r="H1532" s="22" t="n">
        <v>303546</v>
      </c>
      <c r="I1532" s="23" t="n">
        <v>3571.12</v>
      </c>
      <c r="J1532" s="18" t="n">
        <v>0.0839</v>
      </c>
      <c r="K1532" s="24" t="n">
        <v>29</v>
      </c>
      <c r="L1532" s="4" t="n">
        <v>29</v>
      </c>
      <c r="M1532" s="4" t="inlineStr">
        <is>
          <t>alta</t>
        </is>
      </c>
      <c r="N1532" s="4" t="inlineStr">
        <is>
          <t>en linea con comparables</t>
        </is>
      </c>
      <c r="O1532" s="4" t="n"/>
    </row>
    <row r="1533">
      <c r="A1533" s="4" t="inlineStr">
        <is>
          <t>MD-1496</t>
        </is>
      </c>
      <c r="B1533" s="21" t="n">
        <v>46178</v>
      </c>
      <c r="C1533" s="4" t="inlineStr">
        <is>
          <t>Puente de Vallecas</t>
        </is>
      </c>
      <c r="D1533" s="4" t="n">
        <v>68</v>
      </c>
      <c r="E1533" s="4" t="inlineStr">
        <is>
          <t>buen estado</t>
        </is>
      </c>
      <c r="F1533" s="22" t="n">
        <v>150000</v>
      </c>
      <c r="G1533" s="23" t="n">
        <v>2205.88</v>
      </c>
      <c r="H1533" s="22" t="n">
        <v>176314</v>
      </c>
      <c r="I1533" s="23" t="n">
        <v>2592.86</v>
      </c>
      <c r="J1533" s="18" t="n">
        <v>-0.1492</v>
      </c>
      <c r="K1533" s="24" t="n">
        <v>87.3</v>
      </c>
      <c r="L1533" s="4" t="n">
        <v>48</v>
      </c>
      <c r="M1533" s="4" t="inlineStr">
        <is>
          <t>alta</t>
        </is>
      </c>
      <c r="N1533" s="4" t="inlineStr">
        <is>
          <t>por debajo de comparables</t>
        </is>
      </c>
      <c r="O1533" s="4" t="n"/>
    </row>
    <row r="1534">
      <c r="A1534" s="4" t="inlineStr">
        <is>
          <t>MD-1858</t>
        </is>
      </c>
      <c r="B1534" s="21" t="n">
        <v>46179</v>
      </c>
      <c r="C1534" s="4" t="inlineStr">
        <is>
          <t>Moratalaz</t>
        </is>
      </c>
      <c r="D1534" s="4" t="n">
        <v>69</v>
      </c>
      <c r="E1534" s="4" t="inlineStr">
        <is>
          <t>a reformar</t>
        </is>
      </c>
      <c r="F1534" s="22" t="n">
        <v>176000</v>
      </c>
      <c r="G1534" s="23" t="n">
        <v>2550.72</v>
      </c>
      <c r="H1534" s="22" t="n">
        <v>185499</v>
      </c>
      <c r="I1534" s="23" t="n">
        <v>2688.38</v>
      </c>
      <c r="J1534" s="18" t="n">
        <v>-0.0512</v>
      </c>
      <c r="K1534" s="24" t="n">
        <v>62.8</v>
      </c>
      <c r="L1534" s="4" t="n">
        <v>15</v>
      </c>
      <c r="M1534" s="4" t="inlineStr">
        <is>
          <t>alta</t>
        </is>
      </c>
      <c r="N1534" s="4" t="inlineStr">
        <is>
          <t>en linea con comparables</t>
        </is>
      </c>
      <c r="O1534" s="4" t="n"/>
    </row>
    <row r="1535">
      <c r="A1535" s="4" t="inlineStr">
        <is>
          <t>MD-1253</t>
        </is>
      </c>
      <c r="B1535" s="21" t="n">
        <v>46179</v>
      </c>
      <c r="C1535" s="4" t="inlineStr">
        <is>
          <t>Salamanca</t>
        </is>
      </c>
      <c r="D1535" s="4" t="n">
        <v>80</v>
      </c>
      <c r="E1535" s="4" t="inlineStr">
        <is>
          <t>a reformar</t>
        </is>
      </c>
      <c r="F1535" s="22" t="n">
        <v>584000</v>
      </c>
      <c r="G1535" s="23" t="n">
        <v>7300</v>
      </c>
      <c r="H1535" s="22" t="n">
        <v>623111</v>
      </c>
      <c r="I1535" s="23" t="n">
        <v>7788.89</v>
      </c>
      <c r="J1535" s="18" t="n">
        <v>-0.06279999999999999</v>
      </c>
      <c r="K1535" s="24" t="n">
        <v>65.7</v>
      </c>
      <c r="L1535" s="4" t="n">
        <v>17</v>
      </c>
      <c r="M1535" s="4" t="inlineStr">
        <is>
          <t>alta</t>
        </is>
      </c>
      <c r="N1535" s="4" t="inlineStr">
        <is>
          <t>en linea con comparables</t>
        </is>
      </c>
      <c r="O1535" s="4" t="n"/>
    </row>
    <row r="1536">
      <c r="A1536" s="4" t="inlineStr">
        <is>
          <t>MD-0751</t>
        </is>
      </c>
      <c r="B1536" s="21" t="n">
        <v>46179</v>
      </c>
      <c r="C1536" s="4" t="inlineStr">
        <is>
          <t>Fuencarral-El Pardo</t>
        </is>
      </c>
      <c r="D1536" s="4" t="n">
        <v>29</v>
      </c>
      <c r="E1536" s="4" t="inlineStr">
        <is>
          <t>buen estado</t>
        </is>
      </c>
      <c r="F1536" s="22" t="n">
        <v>221000</v>
      </c>
      <c r="G1536" s="23" t="n">
        <v>7620.69</v>
      </c>
      <c r="H1536" s="22" t="n"/>
      <c r="I1536" s="23" t="n"/>
      <c r="J1536" s="18" t="n"/>
      <c r="K1536" s="24" t="n"/>
      <c r="L1536" s="4" t="n">
        <v>2</v>
      </c>
      <c r="M1536" s="4" t="inlineStr">
        <is>
          <t>sin muestra</t>
        </is>
      </c>
      <c r="N1536" s="4" t="inlineStr">
        <is>
          <t>no valorable</t>
        </is>
      </c>
      <c r="O1536" s="4" t="inlineStr">
        <is>
          <t>segmento con pocas operaciones comparables</t>
        </is>
      </c>
    </row>
    <row r="1537">
      <c r="A1537" s="4" t="inlineStr">
        <is>
          <t>MD-0698</t>
        </is>
      </c>
      <c r="B1537" s="21" t="n">
        <v>46179</v>
      </c>
      <c r="C1537" s="4" t="inlineStr">
        <is>
          <t>Centro</t>
        </is>
      </c>
      <c r="D1537" s="4" t="n">
        <v>95</v>
      </c>
      <c r="E1537" s="4" t="inlineStr">
        <is>
          <t>reformado</t>
        </is>
      </c>
      <c r="F1537" s="22" t="n">
        <v>738000</v>
      </c>
      <c r="G1537" s="23" t="n">
        <v>7768.42</v>
      </c>
      <c r="H1537" s="22" t="n">
        <v>811404</v>
      </c>
      <c r="I1537" s="23" t="n">
        <v>8541.1</v>
      </c>
      <c r="J1537" s="18" t="n">
        <v>-0.0905</v>
      </c>
      <c r="K1537" s="24" t="n">
        <v>72.59999999999999</v>
      </c>
      <c r="L1537" s="4" t="n">
        <v>21</v>
      </c>
      <c r="M1537" s="4" t="inlineStr">
        <is>
          <t>media</t>
        </is>
      </c>
      <c r="N1537" s="4" t="inlineStr">
        <is>
          <t>en linea con comparables</t>
        </is>
      </c>
      <c r="O1537" s="4" t="n"/>
    </row>
    <row r="1538">
      <c r="A1538" s="4" t="inlineStr">
        <is>
          <t>MD-1942</t>
        </is>
      </c>
      <c r="B1538" s="21" t="n">
        <v>46179</v>
      </c>
      <c r="C1538" s="4" t="inlineStr">
        <is>
          <t>San Blas-Canillejas</t>
        </is>
      </c>
      <c r="D1538" s="4" t="n">
        <v>124</v>
      </c>
      <c r="E1538" s="4" t="inlineStr">
        <is>
          <t>reformado</t>
        </is>
      </c>
      <c r="F1538" s="22" t="n">
        <v>406000</v>
      </c>
      <c r="G1538" s="23" t="n">
        <v>3274.19</v>
      </c>
      <c r="H1538" s="22" t="n">
        <v>538613</v>
      </c>
      <c r="I1538" s="23" t="n">
        <v>4343.66</v>
      </c>
      <c r="J1538" s="18" t="n">
        <v>-0.2462</v>
      </c>
      <c r="K1538" s="24" t="n">
        <v>100</v>
      </c>
      <c r="L1538" s="4" t="n">
        <v>20</v>
      </c>
      <c r="M1538" s="4" t="inlineStr">
        <is>
          <t>alta</t>
        </is>
      </c>
      <c r="N1538" s="4" t="inlineStr">
        <is>
          <t>por debajo de comparables</t>
        </is>
      </c>
      <c r="O1538" s="4" t="n"/>
    </row>
    <row r="1539">
      <c r="A1539" s="4" t="inlineStr">
        <is>
          <t>MD-0825</t>
        </is>
      </c>
      <c r="B1539" s="21" t="n">
        <v>46180</v>
      </c>
      <c r="C1539" s="4" t="inlineStr">
        <is>
          <t>Arganzuela</t>
        </is>
      </c>
      <c r="D1539" s="4" t="n">
        <v>43</v>
      </c>
      <c r="E1539" s="4" t="inlineStr">
        <is>
          <t>a reformar</t>
        </is>
      </c>
      <c r="F1539" s="22" t="n">
        <v>230000</v>
      </c>
      <c r="G1539" s="23" t="n">
        <v>5348.84</v>
      </c>
      <c r="H1539" s="22" t="n"/>
      <c r="I1539" s="23" t="n"/>
      <c r="J1539" s="18" t="n"/>
      <c r="K1539" s="24" t="n"/>
      <c r="L1539" s="4" t="n">
        <v>4</v>
      </c>
      <c r="M1539" s="4" t="inlineStr">
        <is>
          <t>sin muestra</t>
        </is>
      </c>
      <c r="N1539" s="4" t="inlineStr">
        <is>
          <t>no valorable</t>
        </is>
      </c>
      <c r="O1539" s="4" t="inlineStr">
        <is>
          <t>segmento con pocas operaciones comparables</t>
        </is>
      </c>
    </row>
    <row r="1540">
      <c r="A1540" s="4" t="inlineStr">
        <is>
          <t>MD-1526</t>
        </is>
      </c>
      <c r="B1540" s="21" t="n">
        <v>46180</v>
      </c>
      <c r="C1540" s="4" t="inlineStr">
        <is>
          <t>Tetuan</t>
        </is>
      </c>
      <c r="D1540" s="4" t="n">
        <v>41</v>
      </c>
      <c r="E1540" s="4" t="inlineStr">
        <is>
          <t>buen estado</t>
        </is>
      </c>
      <c r="F1540" s="22" t="n">
        <v>163000</v>
      </c>
      <c r="G1540" s="23" t="n">
        <v>3975.61</v>
      </c>
      <c r="H1540" s="22" t="n">
        <v>234156</v>
      </c>
      <c r="I1540" s="23" t="n">
        <v>5711.13</v>
      </c>
      <c r="J1540" s="18" t="n">
        <v>-0.3039</v>
      </c>
      <c r="K1540" s="24" t="n">
        <v>100</v>
      </c>
      <c r="L1540" s="4" t="n">
        <v>19</v>
      </c>
      <c r="M1540" s="4" t="inlineStr">
        <is>
          <t>media</t>
        </is>
      </c>
      <c r="N1540" s="4" t="inlineStr">
        <is>
          <t>por debajo de comparables</t>
        </is>
      </c>
      <c r="O1540" s="4" t="n"/>
    </row>
    <row r="1541">
      <c r="A1541" s="4" t="inlineStr">
        <is>
          <t>MD-0269</t>
        </is>
      </c>
      <c r="B1541" s="21" t="n">
        <v>46180</v>
      </c>
      <c r="C1541" s="4" t="inlineStr">
        <is>
          <t>Tetuan</t>
        </is>
      </c>
      <c r="D1541" s="4" t="n">
        <v>40</v>
      </c>
      <c r="E1541" s="4" t="inlineStr">
        <is>
          <t>a reformar</t>
        </is>
      </c>
      <c r="F1541" s="22" t="n">
        <v>134000</v>
      </c>
      <c r="G1541" s="23" t="n">
        <v>3350</v>
      </c>
      <c r="H1541" s="22" t="n">
        <v>195771</v>
      </c>
      <c r="I1541" s="23" t="n">
        <v>4894.26</v>
      </c>
      <c r="J1541" s="18" t="n">
        <v>-0.3155</v>
      </c>
      <c r="K1541" s="24" t="n">
        <v>100</v>
      </c>
      <c r="L1541" s="4" t="n">
        <v>19</v>
      </c>
      <c r="M1541" s="4" t="inlineStr">
        <is>
          <t>media</t>
        </is>
      </c>
      <c r="N1541" s="4" t="inlineStr">
        <is>
          <t>por debajo de comparables</t>
        </is>
      </c>
      <c r="O1541" s="4" t="n"/>
    </row>
    <row r="1542">
      <c r="A1542" s="4" t="inlineStr">
        <is>
          <t>MD-1321</t>
        </is>
      </c>
      <c r="B1542" s="21" t="n">
        <v>46180</v>
      </c>
      <c r="C1542" s="4" t="inlineStr">
        <is>
          <t>Moncloa-Aravaca</t>
        </is>
      </c>
      <c r="D1542" s="4" t="n">
        <v>34</v>
      </c>
      <c r="E1542" s="4" t="inlineStr">
        <is>
          <t>buen estado</t>
        </is>
      </c>
      <c r="F1542" s="22" t="n">
        <v>203000</v>
      </c>
      <c r="G1542" s="23" t="n">
        <v>5970.59</v>
      </c>
      <c r="H1542" s="22" t="n"/>
      <c r="I1542" s="23" t="n"/>
      <c r="J1542" s="18" t="n"/>
      <c r="K1542" s="24" t="n"/>
      <c r="L1542" s="4" t="n">
        <v>1</v>
      </c>
      <c r="M1542" s="4" t="inlineStr">
        <is>
          <t>sin muestra</t>
        </is>
      </c>
      <c r="N1542" s="4" t="inlineStr">
        <is>
          <t>no valorable</t>
        </is>
      </c>
      <c r="O1542" s="4" t="inlineStr">
        <is>
          <t>segmento con pocas operaciones comparables</t>
        </is>
      </c>
    </row>
    <row r="1543">
      <c r="A1543" s="4" t="inlineStr">
        <is>
          <t>MD-1762</t>
        </is>
      </c>
      <c r="B1543" s="21" t="n">
        <v>46180</v>
      </c>
      <c r="C1543" s="4" t="inlineStr">
        <is>
          <t>Fuencarral-El Pardo</t>
        </is>
      </c>
      <c r="D1543" s="4" t="n">
        <v>60</v>
      </c>
      <c r="E1543" s="4" t="inlineStr">
        <is>
          <t>a reformar</t>
        </is>
      </c>
      <c r="F1543" s="22" t="n">
        <v>241000</v>
      </c>
      <c r="G1543" s="23" t="n">
        <v>4016.67</v>
      </c>
      <c r="H1543" s="22" t="n">
        <v>285004</v>
      </c>
      <c r="I1543" s="23" t="n">
        <v>4750.06</v>
      </c>
      <c r="J1543" s="18" t="n">
        <v>-0.1544</v>
      </c>
      <c r="K1543" s="24" t="n">
        <v>88.59999999999999</v>
      </c>
      <c r="L1543" s="4" t="n">
        <v>25</v>
      </c>
      <c r="M1543" s="4" t="inlineStr">
        <is>
          <t>media</t>
        </is>
      </c>
      <c r="N1543" s="4" t="inlineStr">
        <is>
          <t>por debajo de comparables</t>
        </is>
      </c>
      <c r="O1543" s="4" t="n"/>
    </row>
    <row r="1544">
      <c r="A1544" s="4" t="inlineStr">
        <is>
          <t>MD-0703</t>
        </is>
      </c>
      <c r="B1544" s="21" t="n">
        <v>46180</v>
      </c>
      <c r="C1544" s="4" t="inlineStr">
        <is>
          <t>San Blas-Canillejas</t>
        </is>
      </c>
      <c r="D1544" s="4" t="n">
        <v>85</v>
      </c>
      <c r="E1544" s="4" t="inlineStr">
        <is>
          <t>buen estado</t>
        </is>
      </c>
      <c r="F1544" s="22" t="n">
        <v>360000</v>
      </c>
      <c r="G1544" s="23" t="n">
        <v>4235.29</v>
      </c>
      <c r="H1544" s="22" t="n">
        <v>327768</v>
      </c>
      <c r="I1544" s="23" t="n">
        <v>3856.09</v>
      </c>
      <c r="J1544" s="18" t="n">
        <v>0.0983</v>
      </c>
      <c r="K1544" s="24" t="n">
        <v>25.4</v>
      </c>
      <c r="L1544" s="4" t="n">
        <v>25</v>
      </c>
      <c r="M1544" s="4" t="inlineStr">
        <is>
          <t>media</t>
        </is>
      </c>
      <c r="N1544" s="4" t="inlineStr">
        <is>
          <t>en linea con comparables</t>
        </is>
      </c>
      <c r="O1544" s="4" t="n"/>
    </row>
    <row r="1545">
      <c r="A1545" s="4" t="inlineStr">
        <is>
          <t>MD-0796</t>
        </is>
      </c>
      <c r="B1545" s="21" t="n">
        <v>46180</v>
      </c>
      <c r="C1545" s="4" t="inlineStr">
        <is>
          <t>San Blas-Canillejas</t>
        </is>
      </c>
      <c r="D1545" s="4" t="n">
        <v>92</v>
      </c>
      <c r="E1545" s="4" t="inlineStr">
        <is>
          <t>buen estado</t>
        </is>
      </c>
      <c r="F1545" s="22" t="n">
        <v>267000</v>
      </c>
      <c r="G1545" s="23" t="n">
        <v>2902.17</v>
      </c>
      <c r="H1545" s="22" t="n">
        <v>278449</v>
      </c>
      <c r="I1545" s="23" t="n">
        <v>3026.62</v>
      </c>
      <c r="J1545" s="18" t="n">
        <v>-0.0411</v>
      </c>
      <c r="K1545" s="24" t="n">
        <v>60.3</v>
      </c>
      <c r="L1545" s="4" t="n">
        <v>22</v>
      </c>
      <c r="M1545" s="4" t="inlineStr">
        <is>
          <t>media</t>
        </is>
      </c>
      <c r="N1545" s="4" t="inlineStr">
        <is>
          <t>en linea con comparables</t>
        </is>
      </c>
      <c r="O1545" s="4" t="n"/>
    </row>
    <row r="1546">
      <c r="A1546" s="4" t="inlineStr">
        <is>
          <t>MD-1527</t>
        </is>
      </c>
      <c r="B1546" s="21" t="n">
        <v>46180</v>
      </c>
      <c r="C1546" s="4" t="inlineStr">
        <is>
          <t>Puente de Vallecas</t>
        </is>
      </c>
      <c r="D1546" s="4" t="n">
        <v>38</v>
      </c>
      <c r="E1546" s="4" t="inlineStr">
        <is>
          <t>buen estado</t>
        </is>
      </c>
      <c r="F1546" s="22" t="n">
        <v>87000</v>
      </c>
      <c r="G1546" s="23" t="n">
        <v>2289.47</v>
      </c>
      <c r="H1546" s="22" t="n">
        <v>97043</v>
      </c>
      <c r="I1546" s="23" t="n">
        <v>2553.76</v>
      </c>
      <c r="J1546" s="18" t="n">
        <v>-0.1035</v>
      </c>
      <c r="K1546" s="24" t="n">
        <v>75.90000000000001</v>
      </c>
      <c r="L1546" s="4" t="n">
        <v>37</v>
      </c>
      <c r="M1546" s="4" t="inlineStr">
        <is>
          <t>alta</t>
        </is>
      </c>
      <c r="N1546" s="4" t="inlineStr">
        <is>
          <t>por debajo de comparables</t>
        </is>
      </c>
      <c r="O1546" s="4" t="n"/>
    </row>
    <row r="1547">
      <c r="A1547" s="4" t="inlineStr">
        <is>
          <t>MD-0992</t>
        </is>
      </c>
      <c r="B1547" s="21" t="n">
        <v>46181</v>
      </c>
      <c r="C1547" s="4" t="inlineStr">
        <is>
          <t>Latina</t>
        </is>
      </c>
      <c r="D1547" s="4" t="n">
        <v>60</v>
      </c>
      <c r="E1547" s="4" t="inlineStr">
        <is>
          <t>buen estado</t>
        </is>
      </c>
      <c r="F1547" s="22" t="n">
        <v>238000</v>
      </c>
      <c r="G1547" s="23" t="n">
        <v>3966.67</v>
      </c>
      <c r="H1547" s="22" t="n">
        <v>205598</v>
      </c>
      <c r="I1547" s="23" t="n">
        <v>3426.64</v>
      </c>
      <c r="J1547" s="18" t="n">
        <v>0.1576</v>
      </c>
      <c r="K1547" s="24" t="n">
        <v>10.6</v>
      </c>
      <c r="L1547" s="4" t="n">
        <v>47</v>
      </c>
      <c r="M1547" s="4" t="inlineStr">
        <is>
          <t>media</t>
        </is>
      </c>
      <c r="N1547" s="4" t="inlineStr">
        <is>
          <t>por encima de comparables</t>
        </is>
      </c>
      <c r="O1547" s="4" t="n"/>
    </row>
    <row r="1548">
      <c r="A1548" s="4" t="inlineStr">
        <is>
          <t>MD-1130</t>
        </is>
      </c>
      <c r="B1548" s="21" t="n">
        <v>46181</v>
      </c>
      <c r="C1548" s="4" t="inlineStr">
        <is>
          <t>Ciudad Lineal</t>
        </is>
      </c>
      <c r="D1548" s="4" t="n">
        <v>51</v>
      </c>
      <c r="E1548" s="4" t="inlineStr">
        <is>
          <t>buen estado</t>
        </is>
      </c>
      <c r="F1548" s="22" t="n">
        <v>240000</v>
      </c>
      <c r="G1548" s="23" t="n">
        <v>4705.88</v>
      </c>
      <c r="H1548" s="22" t="n">
        <v>249536</v>
      </c>
      <c r="I1548" s="23" t="n">
        <v>4892.86</v>
      </c>
      <c r="J1548" s="18" t="n">
        <v>-0.0382</v>
      </c>
      <c r="K1548" s="24" t="n">
        <v>59.6</v>
      </c>
      <c r="L1548" s="4" t="n">
        <v>35</v>
      </c>
      <c r="M1548" s="4" t="inlineStr">
        <is>
          <t>media</t>
        </is>
      </c>
      <c r="N1548" s="4" t="inlineStr">
        <is>
          <t>en linea con comparables</t>
        </is>
      </c>
      <c r="O1548" s="4" t="n"/>
    </row>
    <row r="1549">
      <c r="A1549" s="4" t="inlineStr">
        <is>
          <t>MD-0258</t>
        </is>
      </c>
      <c r="B1549" s="21" t="n">
        <v>46181</v>
      </c>
      <c r="C1549" s="4" t="inlineStr">
        <is>
          <t>Latina</t>
        </is>
      </c>
      <c r="D1549" s="4" t="n">
        <v>45</v>
      </c>
      <c r="E1549" s="4" t="inlineStr">
        <is>
          <t>reformado</t>
        </is>
      </c>
      <c r="F1549" s="22" t="n">
        <v>192000</v>
      </c>
      <c r="G1549" s="23" t="n">
        <v>4266.67</v>
      </c>
      <c r="H1549" s="22" t="n">
        <v>164462</v>
      </c>
      <c r="I1549" s="23" t="n">
        <v>3654.7</v>
      </c>
      <c r="J1549" s="18" t="n">
        <v>0.1674</v>
      </c>
      <c r="K1549" s="24" t="n">
        <v>8.1</v>
      </c>
      <c r="L1549" s="4" t="n">
        <v>27</v>
      </c>
      <c r="M1549" s="4" t="inlineStr">
        <is>
          <t>alta</t>
        </is>
      </c>
      <c r="N1549" s="4" t="inlineStr">
        <is>
          <t>por encima de comparables</t>
        </is>
      </c>
      <c r="O1549" s="4" t="n"/>
    </row>
    <row r="1550">
      <c r="A1550" s="4" t="inlineStr">
        <is>
          <t>MD-1027</t>
        </is>
      </c>
      <c r="B1550" s="21" t="n">
        <v>46181</v>
      </c>
      <c r="C1550" s="4" t="inlineStr">
        <is>
          <t>Centro</t>
        </is>
      </c>
      <c r="D1550" s="4" t="n">
        <v>32</v>
      </c>
      <c r="E1550" s="4" t="inlineStr">
        <is>
          <t>buen estado</t>
        </is>
      </c>
      <c r="F1550" s="22" t="n">
        <v>228000</v>
      </c>
      <c r="G1550" s="23" t="n">
        <v>7125</v>
      </c>
      <c r="H1550" s="22" t="n">
        <v>265577</v>
      </c>
      <c r="I1550" s="23" t="n">
        <v>8299.27</v>
      </c>
      <c r="J1550" s="18" t="n">
        <v>-0.1415</v>
      </c>
      <c r="K1550" s="24" t="n">
        <v>85.40000000000001</v>
      </c>
      <c r="L1550" s="4" t="n">
        <v>15</v>
      </c>
      <c r="M1550" s="4" t="inlineStr">
        <is>
          <t>media</t>
        </is>
      </c>
      <c r="N1550" s="4" t="inlineStr">
        <is>
          <t>por debajo de comparables</t>
        </is>
      </c>
      <c r="O1550" s="4" t="n"/>
    </row>
    <row r="1551">
      <c r="A1551" s="4" t="inlineStr">
        <is>
          <t>MD-1648</t>
        </is>
      </c>
      <c r="B1551" s="21" t="n">
        <v>46182</v>
      </c>
      <c r="C1551" s="4" t="inlineStr">
        <is>
          <t>Tetuan</t>
        </is>
      </c>
      <c r="D1551" s="4" t="n">
        <v>122</v>
      </c>
      <c r="E1551" s="4" t="inlineStr">
        <is>
          <t>reformado</t>
        </is>
      </c>
      <c r="F1551" s="22" t="n">
        <v>727000</v>
      </c>
      <c r="G1551" s="23" t="n">
        <v>5959.02</v>
      </c>
      <c r="H1551" s="22" t="n">
        <v>694869</v>
      </c>
      <c r="I1551" s="23" t="n">
        <v>5695.65</v>
      </c>
      <c r="J1551" s="18" t="n">
        <v>0.0462</v>
      </c>
      <c r="K1551" s="24" t="n">
        <v>38.4</v>
      </c>
      <c r="L1551" s="4" t="n">
        <v>7</v>
      </c>
      <c r="M1551" s="4" t="inlineStr">
        <is>
          <t>baja</t>
        </is>
      </c>
      <c r="N1551" s="4" t="inlineStr">
        <is>
          <t>en linea con comparables</t>
        </is>
      </c>
      <c r="O1551" s="4" t="n"/>
    </row>
    <row r="1552">
      <c r="A1552" s="4" t="inlineStr">
        <is>
          <t>MD-0872</t>
        </is>
      </c>
      <c r="B1552" s="21" t="n">
        <v>46182</v>
      </c>
      <c r="C1552" s="4" t="inlineStr">
        <is>
          <t>San Blas-Canillejas</t>
        </is>
      </c>
      <c r="D1552" s="4" t="n">
        <v>129</v>
      </c>
      <c r="E1552" s="4" t="inlineStr">
        <is>
          <t>a reformar</t>
        </is>
      </c>
      <c r="F1552" s="22" t="n">
        <v>401000</v>
      </c>
      <c r="G1552" s="23" t="n">
        <v>3108.53</v>
      </c>
      <c r="H1552" s="22" t="n">
        <v>424871</v>
      </c>
      <c r="I1552" s="23" t="n">
        <v>3293.58</v>
      </c>
      <c r="J1552" s="18" t="n">
        <v>-0.0562</v>
      </c>
      <c r="K1552" s="24" t="n">
        <v>64</v>
      </c>
      <c r="L1552" s="4" t="n">
        <v>21</v>
      </c>
      <c r="M1552" s="4" t="inlineStr">
        <is>
          <t>alta</t>
        </is>
      </c>
      <c r="N1552" s="4" t="inlineStr">
        <is>
          <t>en linea con comparables</t>
        </is>
      </c>
      <c r="O1552" s="4" t="n"/>
    </row>
    <row r="1553">
      <c r="A1553" s="4" t="inlineStr">
        <is>
          <t>MD-0216</t>
        </is>
      </c>
      <c r="B1553" s="21" t="n">
        <v>46182</v>
      </c>
      <c r="C1553" s="4" t="inlineStr">
        <is>
          <t>Villa de Vallecas</t>
        </is>
      </c>
      <c r="D1553" s="4" t="n">
        <v>59</v>
      </c>
      <c r="E1553" s="4" t="inlineStr">
        <is>
          <t>buen estado</t>
        </is>
      </c>
      <c r="F1553" s="22" t="n">
        <v>223000</v>
      </c>
      <c r="G1553" s="23" t="n">
        <v>3779.66</v>
      </c>
      <c r="H1553" s="22" t="n">
        <v>202843</v>
      </c>
      <c r="I1553" s="23" t="n">
        <v>3438.01</v>
      </c>
      <c r="J1553" s="18" t="n">
        <v>0.0994</v>
      </c>
      <c r="K1553" s="24" t="n">
        <v>25.2</v>
      </c>
      <c r="L1553" s="4" t="n">
        <v>15</v>
      </c>
      <c r="M1553" s="4" t="inlineStr">
        <is>
          <t>media</t>
        </is>
      </c>
      <c r="N1553" s="4" t="inlineStr">
        <is>
          <t>en linea con comparables</t>
        </is>
      </c>
      <c r="O1553" s="4" t="n"/>
    </row>
    <row r="1554">
      <c r="A1554" s="4" t="inlineStr">
        <is>
          <t>MD-1483</t>
        </is>
      </c>
      <c r="B1554" s="21" t="n">
        <v>46182</v>
      </c>
      <c r="C1554" s="4" t="inlineStr">
        <is>
          <t>Villa de Vallecas</t>
        </is>
      </c>
      <c r="D1554" s="4" t="n">
        <v>74</v>
      </c>
      <c r="E1554" s="4" t="inlineStr">
        <is>
          <t>a reformar</t>
        </is>
      </c>
      <c r="F1554" s="22" t="n">
        <v>159000</v>
      </c>
      <c r="G1554" s="23" t="n">
        <v>2148.65</v>
      </c>
      <c r="H1554" s="22" t="n">
        <v>183154</v>
      </c>
      <c r="I1554" s="23" t="n">
        <v>2475.06</v>
      </c>
      <c r="J1554" s="18" t="n">
        <v>-0.1319</v>
      </c>
      <c r="K1554" s="24" t="n">
        <v>83</v>
      </c>
      <c r="L1554" s="4" t="n">
        <v>14</v>
      </c>
      <c r="M1554" s="4" t="inlineStr">
        <is>
          <t>media</t>
        </is>
      </c>
      <c r="N1554" s="4" t="inlineStr">
        <is>
          <t>por debajo de comparables</t>
        </is>
      </c>
      <c r="O1554" s="4" t="n"/>
    </row>
    <row r="1555">
      <c r="A1555" s="4" t="inlineStr">
        <is>
          <t>MD-1205</t>
        </is>
      </c>
      <c r="B1555" s="21" t="n">
        <v>46182</v>
      </c>
      <c r="C1555" s="4" t="inlineStr">
        <is>
          <t>Fuencarral-El Pardo</t>
        </is>
      </c>
      <c r="D1555" s="4" t="n">
        <v>183</v>
      </c>
      <c r="E1555" s="4" t="inlineStr">
        <is>
          <t>a reformar</t>
        </is>
      </c>
      <c r="F1555" s="22" t="n">
        <v>838000</v>
      </c>
      <c r="G1555" s="23" t="n">
        <v>4579.23</v>
      </c>
      <c r="H1555" s="22" t="n">
        <v>808663</v>
      </c>
      <c r="I1555" s="23" t="n">
        <v>4418.92</v>
      </c>
      <c r="J1555" s="18" t="n">
        <v>0.0363</v>
      </c>
      <c r="K1555" s="24" t="n">
        <v>40.9</v>
      </c>
      <c r="L1555" s="4" t="n">
        <v>16</v>
      </c>
      <c r="M1555" s="4" t="inlineStr">
        <is>
          <t>media</t>
        </is>
      </c>
      <c r="N1555" s="4" t="inlineStr">
        <is>
          <t>en linea con comparables</t>
        </is>
      </c>
      <c r="O1555" s="4" t="n"/>
    </row>
    <row r="1556">
      <c r="A1556" s="4" t="inlineStr">
        <is>
          <t>MD-0183</t>
        </is>
      </c>
      <c r="B1556" s="21" t="n">
        <v>46183</v>
      </c>
      <c r="C1556" s="4" t="inlineStr">
        <is>
          <t>Carabanchel</t>
        </is>
      </c>
      <c r="D1556" s="4" t="n">
        <v>60</v>
      </c>
      <c r="E1556" s="4" t="inlineStr">
        <is>
          <t>buen estado</t>
        </is>
      </c>
      <c r="F1556" s="22" t="n">
        <v>201000</v>
      </c>
      <c r="G1556" s="23" t="n">
        <v>3350</v>
      </c>
      <c r="H1556" s="22" t="n">
        <v>198824</v>
      </c>
      <c r="I1556" s="23" t="n">
        <v>3313.73</v>
      </c>
      <c r="J1556" s="18" t="n">
        <v>0.0109</v>
      </c>
      <c r="K1556" s="24" t="n">
        <v>47.3</v>
      </c>
      <c r="L1556" s="4" t="n">
        <v>47</v>
      </c>
      <c r="M1556" s="4" t="inlineStr">
        <is>
          <t>alta</t>
        </is>
      </c>
      <c r="N1556" s="4" t="inlineStr">
        <is>
          <t>en linea con comparables</t>
        </is>
      </c>
      <c r="O1556" s="4" t="n"/>
    </row>
    <row r="1557">
      <c r="A1557" s="4" t="inlineStr">
        <is>
          <t>MD-0470</t>
        </is>
      </c>
      <c r="B1557" s="21" t="n">
        <v>46183</v>
      </c>
      <c r="C1557" s="4" t="inlineStr">
        <is>
          <t>Puente de Vallecas</t>
        </is>
      </c>
      <c r="D1557" s="4" t="n">
        <v>73</v>
      </c>
      <c r="E1557" s="4" t="inlineStr">
        <is>
          <t>a reformar</t>
        </is>
      </c>
      <c r="F1557" s="22" t="n">
        <v>147000</v>
      </c>
      <c r="G1557" s="23" t="n">
        <v>2013.7</v>
      </c>
      <c r="H1557" s="22" t="n">
        <v>180726</v>
      </c>
      <c r="I1557" s="23" t="n">
        <v>2475.69</v>
      </c>
      <c r="J1557" s="18" t="n">
        <v>-0.1866</v>
      </c>
      <c r="K1557" s="24" t="n">
        <v>96.7</v>
      </c>
      <c r="L1557" s="4" t="n">
        <v>45</v>
      </c>
      <c r="M1557" s="4" t="inlineStr">
        <is>
          <t>alta</t>
        </is>
      </c>
      <c r="N1557" s="4" t="inlineStr">
        <is>
          <t>por debajo de comparables</t>
        </is>
      </c>
      <c r="O1557" s="4" t="n"/>
    </row>
    <row r="1558">
      <c r="A1558" s="4" t="inlineStr">
        <is>
          <t>MD-0645</t>
        </is>
      </c>
      <c r="B1558" s="21" t="n">
        <v>46183</v>
      </c>
      <c r="C1558" s="4" t="inlineStr">
        <is>
          <t>Puente de Vallecas</t>
        </is>
      </c>
      <c r="D1558" s="4" t="n">
        <v>80</v>
      </c>
      <c r="E1558" s="4" t="inlineStr">
        <is>
          <t>buen estado</t>
        </is>
      </c>
      <c r="F1558" s="22" t="n">
        <v>270000</v>
      </c>
      <c r="G1558" s="23" t="n">
        <v>3375</v>
      </c>
      <c r="H1558" s="22" t="n">
        <v>232597</v>
      </c>
      <c r="I1558" s="23" t="n">
        <v>2907.46</v>
      </c>
      <c r="J1558" s="18" t="n">
        <v>0.1608</v>
      </c>
      <c r="K1558" s="24" t="n">
        <v>9.800000000000001</v>
      </c>
      <c r="L1558" s="4" t="n">
        <v>42</v>
      </c>
      <c r="M1558" s="4" t="inlineStr">
        <is>
          <t>alta</t>
        </is>
      </c>
      <c r="N1558" s="4" t="inlineStr">
        <is>
          <t>por encima de comparables</t>
        </is>
      </c>
      <c r="O1558" s="4" t="n"/>
    </row>
    <row r="1559">
      <c r="A1559" s="4" t="inlineStr">
        <is>
          <t>MD-1540</t>
        </is>
      </c>
      <c r="B1559" s="21" t="n">
        <v>46184</v>
      </c>
      <c r="C1559" s="4" t="inlineStr">
        <is>
          <t>Retiro</t>
        </is>
      </c>
      <c r="D1559" s="4" t="n">
        <v>96</v>
      </c>
      <c r="E1559" s="4" t="inlineStr">
        <is>
          <t>reformado</t>
        </is>
      </c>
      <c r="F1559" s="22" t="n">
        <v>722000</v>
      </c>
      <c r="G1559" s="23" t="n">
        <v>7520.83</v>
      </c>
      <c r="H1559" s="22" t="n">
        <v>772016</v>
      </c>
      <c r="I1559" s="23" t="n">
        <v>8041.83</v>
      </c>
      <c r="J1559" s="18" t="n">
        <v>-0.0648</v>
      </c>
      <c r="K1559" s="24" t="n">
        <v>66.2</v>
      </c>
      <c r="L1559" s="4" t="n">
        <v>15</v>
      </c>
      <c r="M1559" s="4" t="inlineStr">
        <is>
          <t>alta</t>
        </is>
      </c>
      <c r="N1559" s="4" t="inlineStr">
        <is>
          <t>en linea con comparables</t>
        </is>
      </c>
      <c r="O1559" s="4" t="n"/>
    </row>
    <row r="1560">
      <c r="A1560" s="4" t="inlineStr">
        <is>
          <t>MD-0364</t>
        </is>
      </c>
      <c r="B1560" s="21" t="n">
        <v>46184</v>
      </c>
      <c r="C1560" s="4" t="inlineStr">
        <is>
          <t>Villa de Vallecas</t>
        </is>
      </c>
      <c r="D1560" s="4" t="n">
        <v>52</v>
      </c>
      <c r="E1560" s="4" t="inlineStr">
        <is>
          <t>reformado</t>
        </is>
      </c>
      <c r="F1560" s="22" t="n">
        <v>172000</v>
      </c>
      <c r="G1560" s="23" t="n">
        <v>3307.69</v>
      </c>
      <c r="H1560" s="22" t="n">
        <v>216599</v>
      </c>
      <c r="I1560" s="23" t="n">
        <v>4165.36</v>
      </c>
      <c r="J1560" s="18" t="n">
        <v>-0.2059</v>
      </c>
      <c r="K1560" s="24" t="n">
        <v>100</v>
      </c>
      <c r="L1560" s="4" t="n">
        <v>15</v>
      </c>
      <c r="M1560" s="4" t="inlineStr">
        <is>
          <t>media</t>
        </is>
      </c>
      <c r="N1560" s="4" t="inlineStr">
        <is>
          <t>por debajo de comparables</t>
        </is>
      </c>
      <c r="O1560" s="4" t="n"/>
    </row>
    <row r="1561">
      <c r="A1561" s="4" t="inlineStr">
        <is>
          <t>MD-0320</t>
        </is>
      </c>
      <c r="B1561" s="21" t="n">
        <v>46184</v>
      </c>
      <c r="C1561" s="4" t="inlineStr">
        <is>
          <t>Chamartin</t>
        </is>
      </c>
      <c r="D1561" s="4" t="n">
        <v>41</v>
      </c>
      <c r="E1561" s="4" t="inlineStr">
        <is>
          <t>a reformar</t>
        </is>
      </c>
      <c r="F1561" s="22" t="n">
        <v>236000</v>
      </c>
      <c r="G1561" s="23" t="n">
        <v>5756.1</v>
      </c>
      <c r="H1561" s="22" t="n">
        <v>241394</v>
      </c>
      <c r="I1561" s="23" t="n">
        <v>5887.65</v>
      </c>
      <c r="J1561" s="18" t="n">
        <v>-0.0223</v>
      </c>
      <c r="K1561" s="24" t="n">
        <v>55.6</v>
      </c>
      <c r="L1561" s="4" t="n">
        <v>12</v>
      </c>
      <c r="M1561" s="4" t="inlineStr">
        <is>
          <t>media</t>
        </is>
      </c>
      <c r="N1561" s="4" t="inlineStr">
        <is>
          <t>en linea con comparables</t>
        </is>
      </c>
      <c r="O1561" s="4" t="n"/>
    </row>
    <row r="1562">
      <c r="A1562" s="4" t="inlineStr">
        <is>
          <t>MD-0529</t>
        </is>
      </c>
      <c r="B1562" s="21" t="n">
        <v>46184</v>
      </c>
      <c r="C1562" s="4" t="inlineStr">
        <is>
          <t>Ciudad Lineal</t>
        </is>
      </c>
      <c r="D1562" s="4" t="n">
        <v>71</v>
      </c>
      <c r="E1562" s="4" t="inlineStr">
        <is>
          <t>buen estado</t>
        </is>
      </c>
      <c r="F1562" s="22" t="n">
        <v>295000</v>
      </c>
      <c r="G1562" s="23" t="n">
        <v>4154.93</v>
      </c>
      <c r="H1562" s="22" t="n">
        <v>319869</v>
      </c>
      <c r="I1562" s="23" t="n">
        <v>4505.2</v>
      </c>
      <c r="J1562" s="18" t="n">
        <v>-0.07770000000000001</v>
      </c>
      <c r="K1562" s="24" t="n">
        <v>69.40000000000001</v>
      </c>
      <c r="L1562" s="4" t="n">
        <v>30</v>
      </c>
      <c r="M1562" s="4" t="inlineStr">
        <is>
          <t>media</t>
        </is>
      </c>
      <c r="N1562" s="4" t="inlineStr">
        <is>
          <t>en linea con comparables</t>
        </is>
      </c>
      <c r="O1562" s="4" t="n"/>
    </row>
    <row r="1563">
      <c r="A1563" s="4" t="inlineStr">
        <is>
          <t>MD-0643</t>
        </is>
      </c>
      <c r="B1563" s="21" t="n">
        <v>46184</v>
      </c>
      <c r="C1563" s="4" t="inlineStr">
        <is>
          <t>Centro</t>
        </is>
      </c>
      <c r="D1563" s="4" t="n">
        <v>77</v>
      </c>
      <c r="E1563" s="4" t="inlineStr">
        <is>
          <t>buen estado</t>
        </is>
      </c>
      <c r="F1563" s="22" t="n">
        <v>560000</v>
      </c>
      <c r="G1563" s="23" t="n">
        <v>7272.73</v>
      </c>
      <c r="H1563" s="22" t="n">
        <v>606741</v>
      </c>
      <c r="I1563" s="23" t="n">
        <v>7879.76</v>
      </c>
      <c r="J1563" s="18" t="n">
        <v>-0.077</v>
      </c>
      <c r="K1563" s="24" t="n">
        <v>69.3</v>
      </c>
      <c r="L1563" s="4" t="n">
        <v>22</v>
      </c>
      <c r="M1563" s="4" t="inlineStr">
        <is>
          <t>alta</t>
        </is>
      </c>
      <c r="N1563" s="4" t="inlineStr">
        <is>
          <t>en linea con comparables</t>
        </is>
      </c>
      <c r="O1563" s="4" t="n"/>
    </row>
    <row r="1564">
      <c r="A1564" s="4" t="inlineStr">
        <is>
          <t>MD-1193</t>
        </is>
      </c>
      <c r="B1564" s="21" t="n">
        <v>46184</v>
      </c>
      <c r="C1564" s="4" t="inlineStr">
        <is>
          <t>Latina</t>
        </is>
      </c>
      <c r="D1564" s="4" t="n">
        <v>78</v>
      </c>
      <c r="E1564" s="4" t="inlineStr">
        <is>
          <t>a reformar</t>
        </is>
      </c>
      <c r="F1564" s="22" t="n">
        <v>263000</v>
      </c>
      <c r="G1564" s="23" t="n">
        <v>3371.79</v>
      </c>
      <c r="H1564" s="22" t="n">
        <v>216904</v>
      </c>
      <c r="I1564" s="23" t="n">
        <v>2780.82</v>
      </c>
      <c r="J1564" s="18" t="n">
        <v>0.2125</v>
      </c>
      <c r="K1564" s="24" t="n">
        <v>0</v>
      </c>
      <c r="L1564" s="4" t="n">
        <v>41</v>
      </c>
      <c r="M1564" s="4" t="inlineStr">
        <is>
          <t>media</t>
        </is>
      </c>
      <c r="N1564" s="4" t="inlineStr">
        <is>
          <t>por encima de comparables</t>
        </is>
      </c>
      <c r="O1564" s="4" t="n"/>
    </row>
    <row r="1565">
      <c r="A1565" s="4" t="inlineStr">
        <is>
          <t>MD-0866</t>
        </is>
      </c>
      <c r="B1565" s="21" t="n">
        <v>46184</v>
      </c>
      <c r="C1565" s="4" t="inlineStr">
        <is>
          <t>Salamanca</t>
        </is>
      </c>
      <c r="D1565" s="4" t="n">
        <v>127</v>
      </c>
      <c r="E1565" s="4" t="inlineStr">
        <is>
          <t>reformado</t>
        </is>
      </c>
      <c r="F1565" s="22" t="n">
        <v>842000</v>
      </c>
      <c r="G1565" s="23" t="n">
        <v>6629.92</v>
      </c>
      <c r="H1565" s="22" t="n">
        <v>1369350</v>
      </c>
      <c r="I1565" s="23" t="n">
        <v>10782.28</v>
      </c>
      <c r="J1565" s="18" t="n">
        <v>-0.3851</v>
      </c>
      <c r="K1565" s="24" t="n">
        <v>100</v>
      </c>
      <c r="L1565" s="4" t="n">
        <v>12</v>
      </c>
      <c r="M1565" s="4" t="inlineStr">
        <is>
          <t>media</t>
        </is>
      </c>
      <c r="N1565" s="4" t="inlineStr">
        <is>
          <t>por debajo de comparables</t>
        </is>
      </c>
      <c r="O1565" s="4" t="n"/>
    </row>
    <row r="1566">
      <c r="A1566" s="4" t="inlineStr">
        <is>
          <t>MD-1006</t>
        </is>
      </c>
      <c r="B1566" s="21" t="n">
        <v>46185</v>
      </c>
      <c r="C1566" s="4" t="inlineStr">
        <is>
          <t>Tetuan</t>
        </is>
      </c>
      <c r="D1566" s="4" t="n">
        <v>69</v>
      </c>
      <c r="E1566" s="4" t="inlineStr">
        <is>
          <t>buen estado</t>
        </is>
      </c>
      <c r="F1566" s="22" t="n">
        <v>434000</v>
      </c>
      <c r="G1566" s="23" t="n">
        <v>6289.86</v>
      </c>
      <c r="H1566" s="22" t="n">
        <v>369942</v>
      </c>
      <c r="I1566" s="23" t="n">
        <v>5361.48</v>
      </c>
      <c r="J1566" s="18" t="n">
        <v>0.1732</v>
      </c>
      <c r="K1566" s="24" t="n">
        <v>6.7</v>
      </c>
      <c r="L1566" s="4" t="n">
        <v>34</v>
      </c>
      <c r="M1566" s="4" t="inlineStr">
        <is>
          <t>media</t>
        </is>
      </c>
      <c r="N1566" s="4" t="inlineStr">
        <is>
          <t>por encima de comparables</t>
        </is>
      </c>
      <c r="O1566" s="4" t="n"/>
    </row>
    <row r="1567">
      <c r="A1567" s="4" t="inlineStr">
        <is>
          <t>MD-0815</t>
        </is>
      </c>
      <c r="B1567" s="21" t="n">
        <v>46185</v>
      </c>
      <c r="C1567" s="4" t="inlineStr">
        <is>
          <t>Hortaleza</t>
        </is>
      </c>
      <c r="D1567" s="4" t="n">
        <v>133</v>
      </c>
      <c r="E1567" s="4" t="inlineStr">
        <is>
          <t>a reformar</t>
        </is>
      </c>
      <c r="F1567" s="22" t="n">
        <v>581000</v>
      </c>
      <c r="G1567" s="23" t="n">
        <v>4368.42</v>
      </c>
      <c r="H1567" s="22" t="n">
        <v>605098</v>
      </c>
      <c r="I1567" s="23" t="n">
        <v>4549.61</v>
      </c>
      <c r="J1567" s="18" t="n">
        <v>-0.0398</v>
      </c>
      <c r="K1567" s="24" t="n">
        <v>60</v>
      </c>
      <c r="L1567" s="4" t="n">
        <v>35</v>
      </c>
      <c r="M1567" s="4" t="inlineStr">
        <is>
          <t>alta</t>
        </is>
      </c>
      <c r="N1567" s="4" t="inlineStr">
        <is>
          <t>en linea con comparables</t>
        </is>
      </c>
      <c r="O1567" s="4" t="n"/>
    </row>
    <row r="1568">
      <c r="A1568" s="4" t="inlineStr">
        <is>
          <t>MD-1821</t>
        </is>
      </c>
      <c r="B1568" s="21" t="n">
        <v>46185</v>
      </c>
      <c r="C1568" s="4" t="inlineStr">
        <is>
          <t>Vicalvaro</t>
        </is>
      </c>
      <c r="D1568" s="4" t="n">
        <v>55</v>
      </c>
      <c r="E1568" s="4" t="inlineStr">
        <is>
          <t>buen estado</t>
        </is>
      </c>
      <c r="F1568" s="22" t="n">
        <v>168000</v>
      </c>
      <c r="G1568" s="23" t="n">
        <v>3054.55</v>
      </c>
      <c r="H1568" s="22" t="n">
        <v>172647</v>
      </c>
      <c r="I1568" s="23" t="n">
        <v>3139.03</v>
      </c>
      <c r="J1568" s="18" t="n">
        <v>-0.0269</v>
      </c>
      <c r="K1568" s="24" t="n">
        <v>56.7</v>
      </c>
      <c r="L1568" s="4" t="n">
        <v>12</v>
      </c>
      <c r="M1568" s="4" t="inlineStr">
        <is>
          <t>media</t>
        </is>
      </c>
      <c r="N1568" s="4" t="inlineStr">
        <is>
          <t>en linea con comparables</t>
        </is>
      </c>
      <c r="O1568" s="4" t="n"/>
    </row>
    <row r="1569">
      <c r="A1569" s="4" t="inlineStr">
        <is>
          <t>MD-1742</t>
        </is>
      </c>
      <c r="B1569" s="21" t="n">
        <v>46186</v>
      </c>
      <c r="C1569" s="4" t="inlineStr">
        <is>
          <t>Centro</t>
        </is>
      </c>
      <c r="D1569" s="4" t="n">
        <v>74</v>
      </c>
      <c r="E1569" s="4" t="inlineStr">
        <is>
          <t>buen estado</t>
        </is>
      </c>
      <c r="F1569" s="22" t="n">
        <v>539000</v>
      </c>
      <c r="G1569" s="23" t="n">
        <v>7283.78</v>
      </c>
      <c r="H1569" s="22" t="n">
        <v>583102</v>
      </c>
      <c r="I1569" s="23" t="n">
        <v>7879.76</v>
      </c>
      <c r="J1569" s="18" t="n">
        <v>-0.0756</v>
      </c>
      <c r="K1569" s="24" t="n">
        <v>68.90000000000001</v>
      </c>
      <c r="L1569" s="4" t="n">
        <v>24</v>
      </c>
      <c r="M1569" s="4" t="inlineStr">
        <is>
          <t>alta</t>
        </is>
      </c>
      <c r="N1569" s="4" t="inlineStr">
        <is>
          <t>en linea con comparables</t>
        </is>
      </c>
      <c r="O1569" s="4" t="n"/>
    </row>
    <row r="1570">
      <c r="A1570" s="4" t="inlineStr">
        <is>
          <t>MD-0049</t>
        </is>
      </c>
      <c r="B1570" s="21" t="n">
        <v>46186</v>
      </c>
      <c r="C1570" s="4" t="inlineStr">
        <is>
          <t>Vicalvaro</t>
        </is>
      </c>
      <c r="D1570" s="4" t="n">
        <v>162</v>
      </c>
      <c r="E1570" s="4" t="inlineStr">
        <is>
          <t>buen estado</t>
        </is>
      </c>
      <c r="F1570" s="22" t="n">
        <v>592000</v>
      </c>
      <c r="G1570" s="23" t="n">
        <v>3654.32</v>
      </c>
      <c r="H1570" s="22" t="n">
        <v>597053</v>
      </c>
      <c r="I1570" s="23" t="n">
        <v>3685.51</v>
      </c>
      <c r="J1570" s="18" t="n">
        <v>-0.008500000000000001</v>
      </c>
      <c r="K1570" s="24" t="n">
        <v>52.1</v>
      </c>
      <c r="L1570" s="4" t="n">
        <v>20</v>
      </c>
      <c r="M1570" s="4" t="inlineStr">
        <is>
          <t>alta</t>
        </is>
      </c>
      <c r="N1570" s="4" t="inlineStr">
        <is>
          <t>en linea con comparables</t>
        </is>
      </c>
      <c r="O1570" s="4" t="n"/>
    </row>
    <row r="1571">
      <c r="A1571" s="4" t="inlineStr">
        <is>
          <t>MD-0379</t>
        </is>
      </c>
      <c r="B1571" s="21" t="n">
        <v>46186</v>
      </c>
      <c r="C1571" s="4" t="inlineStr">
        <is>
          <t>Moncloa-Aravaca</t>
        </is>
      </c>
      <c r="D1571" s="4" t="n">
        <v>76</v>
      </c>
      <c r="E1571" s="4" t="inlineStr">
        <is>
          <t>reformado</t>
        </is>
      </c>
      <c r="F1571" s="22" t="n">
        <v>579000</v>
      </c>
      <c r="G1571" s="23" t="n">
        <v>7618.42</v>
      </c>
      <c r="H1571" s="22" t="n">
        <v>501262</v>
      </c>
      <c r="I1571" s="23" t="n">
        <v>6595.56</v>
      </c>
      <c r="J1571" s="18" t="n">
        <v>0.1551</v>
      </c>
      <c r="K1571" s="24" t="n">
        <v>11.2</v>
      </c>
      <c r="L1571" s="4" t="n">
        <v>11</v>
      </c>
      <c r="M1571" s="4" t="inlineStr">
        <is>
          <t>media</t>
        </is>
      </c>
      <c r="N1571" s="4" t="inlineStr">
        <is>
          <t>por encima de comparables</t>
        </is>
      </c>
      <c r="O1571" s="4" t="n"/>
    </row>
    <row r="1572">
      <c r="A1572" s="4" t="inlineStr">
        <is>
          <t>MD-0426</t>
        </is>
      </c>
      <c r="B1572" s="21" t="n">
        <v>46186</v>
      </c>
      <c r="C1572" s="4" t="inlineStr">
        <is>
          <t>Ciudad Lineal</t>
        </is>
      </c>
      <c r="D1572" s="4" t="n">
        <v>73</v>
      </c>
      <c r="E1572" s="4" t="inlineStr">
        <is>
          <t>buen estado</t>
        </is>
      </c>
      <c r="F1572" s="22" t="n">
        <v>357000</v>
      </c>
      <c r="G1572" s="23" t="n">
        <v>4890.41</v>
      </c>
      <c r="H1572" s="22" t="n">
        <v>365951</v>
      </c>
      <c r="I1572" s="23" t="n">
        <v>5013.02</v>
      </c>
      <c r="J1572" s="18" t="n">
        <v>-0.0245</v>
      </c>
      <c r="K1572" s="24" t="n">
        <v>56.1</v>
      </c>
      <c r="L1572" s="4" t="n">
        <v>32</v>
      </c>
      <c r="M1572" s="4" t="inlineStr">
        <is>
          <t>media</t>
        </is>
      </c>
      <c r="N1572" s="4" t="inlineStr">
        <is>
          <t>en linea con comparables</t>
        </is>
      </c>
      <c r="O1572" s="4" t="n"/>
    </row>
    <row r="1573">
      <c r="A1573" s="4" t="inlineStr">
        <is>
          <t>MD-0371</t>
        </is>
      </c>
      <c r="B1573" s="21" t="n">
        <v>46187</v>
      </c>
      <c r="C1573" s="4" t="inlineStr">
        <is>
          <t>Hortaleza</t>
        </is>
      </c>
      <c r="D1573" s="4" t="n">
        <v>92</v>
      </c>
      <c r="E1573" s="4" t="inlineStr">
        <is>
          <t>obra nueva</t>
        </is>
      </c>
      <c r="F1573" s="22" t="n">
        <v>641000</v>
      </c>
      <c r="G1573" s="23" t="n">
        <v>6967.39</v>
      </c>
      <c r="H1573" s="22" t="n">
        <v>552626</v>
      </c>
      <c r="I1573" s="23" t="n">
        <v>6006.81</v>
      </c>
      <c r="J1573" s="18" t="n">
        <v>0.1599</v>
      </c>
      <c r="K1573" s="24" t="n">
        <v>10</v>
      </c>
      <c r="L1573" s="4" t="n">
        <v>29</v>
      </c>
      <c r="M1573" s="4" t="inlineStr">
        <is>
          <t>alta</t>
        </is>
      </c>
      <c r="N1573" s="4" t="inlineStr">
        <is>
          <t>por encima de comparables</t>
        </is>
      </c>
      <c r="O1573" s="4" t="n"/>
    </row>
    <row r="1574">
      <c r="A1574" s="4" t="inlineStr">
        <is>
          <t>MD-1597</t>
        </is>
      </c>
      <c r="B1574" s="21" t="n">
        <v>46187</v>
      </c>
      <c r="C1574" s="4" t="inlineStr">
        <is>
          <t>Fuencarral-El Pardo</t>
        </is>
      </c>
      <c r="D1574" s="4" t="n">
        <v>42</v>
      </c>
      <c r="E1574" s="4" t="inlineStr">
        <is>
          <t>buen estado</t>
        </is>
      </c>
      <c r="F1574" s="22" t="n">
        <v>259000</v>
      </c>
      <c r="G1574" s="23" t="n">
        <v>6166.67</v>
      </c>
      <c r="H1574" s="22" t="n">
        <v>238713</v>
      </c>
      <c r="I1574" s="23" t="n">
        <v>5683.64</v>
      </c>
      <c r="J1574" s="18" t="n">
        <v>0.08500000000000001</v>
      </c>
      <c r="K1574" s="24" t="n">
        <v>28.8</v>
      </c>
      <c r="L1574" s="4" t="n">
        <v>14</v>
      </c>
      <c r="M1574" s="4" t="inlineStr">
        <is>
          <t>media</t>
        </is>
      </c>
      <c r="N1574" s="4" t="inlineStr">
        <is>
          <t>en linea con comparables</t>
        </is>
      </c>
      <c r="O1574" s="4" t="n"/>
    </row>
    <row r="1575">
      <c r="A1575" s="4" t="inlineStr">
        <is>
          <t>MD-1586</t>
        </is>
      </c>
      <c r="B1575" s="21" t="n">
        <v>46187</v>
      </c>
      <c r="C1575" s="4" t="inlineStr">
        <is>
          <t>Carabanchel</t>
        </is>
      </c>
      <c r="D1575" s="4" t="n">
        <v>87</v>
      </c>
      <c r="E1575" s="4" t="inlineStr">
        <is>
          <t>reformado</t>
        </is>
      </c>
      <c r="F1575" s="22" t="n">
        <v>232000</v>
      </c>
      <c r="G1575" s="23" t="n">
        <v>2666.67</v>
      </c>
      <c r="H1575" s="22" t="n">
        <v>290571</v>
      </c>
      <c r="I1575" s="23" t="n">
        <v>3339.9</v>
      </c>
      <c r="J1575" s="18" t="n">
        <v>-0.2016</v>
      </c>
      <c r="K1575" s="24" t="n">
        <v>100</v>
      </c>
      <c r="L1575" s="4" t="n">
        <v>32</v>
      </c>
      <c r="M1575" s="4" t="inlineStr">
        <is>
          <t>media</t>
        </is>
      </c>
      <c r="N1575" s="4" t="inlineStr">
        <is>
          <t>por debajo de comparables</t>
        </is>
      </c>
      <c r="O1575" s="4" t="n"/>
    </row>
    <row r="1576">
      <c r="A1576" s="4" t="inlineStr">
        <is>
          <t>MD-0953</t>
        </is>
      </c>
      <c r="B1576" s="21" t="n">
        <v>46188</v>
      </c>
      <c r="C1576" s="4" t="inlineStr">
        <is>
          <t>Villa de Vallecas</t>
        </is>
      </c>
      <c r="D1576" s="4" t="n">
        <v>64</v>
      </c>
      <c r="E1576" s="4" t="inlineStr">
        <is>
          <t>buen estado</t>
        </is>
      </c>
      <c r="F1576" s="22" t="n">
        <v>209000</v>
      </c>
      <c r="G1576" s="23" t="n">
        <v>3265.62</v>
      </c>
      <c r="H1576" s="22" t="n">
        <v>244364</v>
      </c>
      <c r="I1576" s="23" t="n">
        <v>3818.18</v>
      </c>
      <c r="J1576" s="18" t="n">
        <v>-0.1447</v>
      </c>
      <c r="K1576" s="24" t="n">
        <v>86.2</v>
      </c>
      <c r="L1576" s="4" t="n">
        <v>21</v>
      </c>
      <c r="M1576" s="4" t="inlineStr">
        <is>
          <t>media</t>
        </is>
      </c>
      <c r="N1576" s="4" t="inlineStr">
        <is>
          <t>por debajo de comparables</t>
        </is>
      </c>
      <c r="O1576" s="4" t="n"/>
    </row>
    <row r="1577">
      <c r="A1577" s="4" t="inlineStr">
        <is>
          <t>MD-0214</t>
        </is>
      </c>
      <c r="B1577" s="21" t="n">
        <v>46188</v>
      </c>
      <c r="C1577" s="4" t="inlineStr">
        <is>
          <t>Ciudad Lineal</t>
        </is>
      </c>
      <c r="D1577" s="4" t="n">
        <v>58</v>
      </c>
      <c r="E1577" s="4" t="inlineStr">
        <is>
          <t>buen estado</t>
        </is>
      </c>
      <c r="F1577" s="22" t="n">
        <v>247000</v>
      </c>
      <c r="G1577" s="23" t="n">
        <v>4258.62</v>
      </c>
      <c r="H1577" s="22" t="n">
        <v>283786</v>
      </c>
      <c r="I1577" s="23" t="n">
        <v>4892.86</v>
      </c>
      <c r="J1577" s="18" t="n">
        <v>-0.1296</v>
      </c>
      <c r="K1577" s="24" t="n">
        <v>82.40000000000001</v>
      </c>
      <c r="L1577" s="4" t="n">
        <v>33</v>
      </c>
      <c r="M1577" s="4" t="inlineStr">
        <is>
          <t>alta</t>
        </is>
      </c>
      <c r="N1577" s="4" t="inlineStr">
        <is>
          <t>por debajo de comparables</t>
        </is>
      </c>
      <c r="O1577" s="4" t="n"/>
    </row>
    <row r="1578">
      <c r="A1578" s="4" t="inlineStr">
        <is>
          <t>MD-0099</t>
        </is>
      </c>
      <c r="B1578" s="21" t="n">
        <v>46188</v>
      </c>
      <c r="C1578" s="4" t="inlineStr">
        <is>
          <t>Centro</t>
        </is>
      </c>
      <c r="D1578" s="4" t="n">
        <v>97</v>
      </c>
      <c r="E1578" s="4" t="inlineStr">
        <is>
          <t>buen estado</t>
        </is>
      </c>
      <c r="F1578" s="22" t="n">
        <v>716000</v>
      </c>
      <c r="G1578" s="23" t="n">
        <v>7381.44</v>
      </c>
      <c r="H1578" s="22" t="n">
        <v>658813</v>
      </c>
      <c r="I1578" s="23" t="n">
        <v>6791.89</v>
      </c>
      <c r="J1578" s="18" t="n">
        <v>0.0868</v>
      </c>
      <c r="K1578" s="24" t="n">
        <v>28.3</v>
      </c>
      <c r="L1578" s="4" t="n">
        <v>21</v>
      </c>
      <c r="M1578" s="4" t="inlineStr">
        <is>
          <t>media</t>
        </is>
      </c>
      <c r="N1578" s="4" t="inlineStr">
        <is>
          <t>en linea con comparables</t>
        </is>
      </c>
      <c r="O1578" s="4" t="n"/>
    </row>
    <row r="1579">
      <c r="A1579" s="4" t="inlineStr">
        <is>
          <t>MD-0079</t>
        </is>
      </c>
      <c r="B1579" s="21" t="n">
        <v>46188</v>
      </c>
      <c r="C1579" s="4" t="inlineStr">
        <is>
          <t>San Blas-Canillejas</t>
        </is>
      </c>
      <c r="D1579" s="4" t="n">
        <v>96</v>
      </c>
      <c r="E1579" s="4" t="inlineStr">
        <is>
          <t>buen estado</t>
        </is>
      </c>
      <c r="F1579" s="22" t="n">
        <v>322000</v>
      </c>
      <c r="G1579" s="23" t="n">
        <v>3354.17</v>
      </c>
      <c r="H1579" s="22" t="n">
        <v>363069</v>
      </c>
      <c r="I1579" s="23" t="n">
        <v>3781.96</v>
      </c>
      <c r="J1579" s="18" t="n">
        <v>-0.1131</v>
      </c>
      <c r="K1579" s="24" t="n">
        <v>78.3</v>
      </c>
      <c r="L1579" s="4" t="n">
        <v>24</v>
      </c>
      <c r="M1579" s="4" t="inlineStr">
        <is>
          <t>media</t>
        </is>
      </c>
      <c r="N1579" s="4" t="inlineStr">
        <is>
          <t>por debajo de comparables</t>
        </is>
      </c>
      <c r="O1579" s="4" t="n"/>
    </row>
    <row r="1580">
      <c r="A1580" s="4" t="inlineStr">
        <is>
          <t>MD-1585</t>
        </is>
      </c>
      <c r="B1580" s="21" t="n">
        <v>46188</v>
      </c>
      <c r="C1580" s="4" t="inlineStr">
        <is>
          <t>Fuencarral-El Pardo</t>
        </is>
      </c>
      <c r="D1580" s="4" t="n">
        <v>159</v>
      </c>
      <c r="E1580" s="4" t="inlineStr">
        <is>
          <t>a reformar</t>
        </is>
      </c>
      <c r="F1580" s="22" t="n">
        <v>666000</v>
      </c>
      <c r="G1580" s="23" t="n">
        <v>4188.68</v>
      </c>
      <c r="H1580" s="22" t="n">
        <v>645572</v>
      </c>
      <c r="I1580" s="23" t="n">
        <v>4060.2</v>
      </c>
      <c r="J1580" s="18" t="n">
        <v>0.0316</v>
      </c>
      <c r="K1580" s="24" t="n">
        <v>42.1</v>
      </c>
      <c r="L1580" s="4" t="n">
        <v>25</v>
      </c>
      <c r="M1580" s="4" t="inlineStr">
        <is>
          <t>media</t>
        </is>
      </c>
      <c r="N1580" s="4" t="inlineStr">
        <is>
          <t>en linea con comparables</t>
        </is>
      </c>
      <c r="O1580" s="4" t="n"/>
    </row>
    <row r="1581">
      <c r="A1581" s="4" t="inlineStr">
        <is>
          <t>MD-1533</t>
        </is>
      </c>
      <c r="B1581" s="21" t="n">
        <v>46189</v>
      </c>
      <c r="C1581" s="4" t="inlineStr">
        <is>
          <t>Ciudad Lineal</t>
        </is>
      </c>
      <c r="D1581" s="4" t="n">
        <v>85</v>
      </c>
      <c r="E1581" s="4" t="inlineStr">
        <is>
          <t>reformado</t>
        </is>
      </c>
      <c r="F1581" s="22" t="n">
        <v>358000</v>
      </c>
      <c r="G1581" s="23" t="n">
        <v>4211.76</v>
      </c>
      <c r="H1581" s="22" t="n">
        <v>472641</v>
      </c>
      <c r="I1581" s="23" t="n">
        <v>5560.49</v>
      </c>
      <c r="J1581" s="18" t="n">
        <v>-0.2426</v>
      </c>
      <c r="K1581" s="24" t="n">
        <v>100</v>
      </c>
      <c r="L1581" s="4" t="n">
        <v>31</v>
      </c>
      <c r="M1581" s="4" t="inlineStr">
        <is>
          <t>alta</t>
        </is>
      </c>
      <c r="N1581" s="4" t="inlineStr">
        <is>
          <t>por debajo de comparables</t>
        </is>
      </c>
      <c r="O1581" s="4" t="n"/>
    </row>
    <row r="1582">
      <c r="A1582" s="4" t="inlineStr">
        <is>
          <t>MD-0834</t>
        </is>
      </c>
      <c r="B1582" s="21" t="n">
        <v>46189</v>
      </c>
      <c r="C1582" s="4" t="inlineStr">
        <is>
          <t>Ciudad Lineal</t>
        </is>
      </c>
      <c r="D1582" s="4" t="n">
        <v>96</v>
      </c>
      <c r="E1582" s="4" t="inlineStr">
        <is>
          <t>reformado</t>
        </is>
      </c>
      <c r="F1582" s="22" t="n">
        <v>404000</v>
      </c>
      <c r="G1582" s="23" t="n">
        <v>4208.33</v>
      </c>
      <c r="H1582" s="22" t="n">
        <v>468319</v>
      </c>
      <c r="I1582" s="23" t="n">
        <v>4878.32</v>
      </c>
      <c r="J1582" s="18" t="n">
        <v>-0.1373</v>
      </c>
      <c r="K1582" s="24" t="n">
        <v>84.3</v>
      </c>
      <c r="L1582" s="4" t="n">
        <v>24</v>
      </c>
      <c r="M1582" s="4" t="inlineStr">
        <is>
          <t>alta</t>
        </is>
      </c>
      <c r="N1582" s="4" t="inlineStr">
        <is>
          <t>por debajo de comparables</t>
        </is>
      </c>
      <c r="O1582" s="4" t="n"/>
    </row>
    <row r="1583">
      <c r="A1583" s="4" t="inlineStr">
        <is>
          <t>MD-1930</t>
        </is>
      </c>
      <c r="B1583" s="21" t="n">
        <v>46189</v>
      </c>
      <c r="C1583" s="4" t="inlineStr">
        <is>
          <t>Villaverde</t>
        </is>
      </c>
      <c r="D1583" s="4" t="n">
        <v>98</v>
      </c>
      <c r="E1583" s="4" t="inlineStr">
        <is>
          <t>buen estado</t>
        </is>
      </c>
      <c r="F1583" s="22" t="n">
        <v>236000</v>
      </c>
      <c r="G1583" s="23" t="n">
        <v>2408.16</v>
      </c>
      <c r="H1583" s="22" t="n">
        <v>202145</v>
      </c>
      <c r="I1583" s="23" t="n">
        <v>2062.7</v>
      </c>
      <c r="J1583" s="18" t="n">
        <v>0.1675</v>
      </c>
      <c r="K1583" s="24" t="n">
        <v>8.1</v>
      </c>
      <c r="L1583" s="4" t="n">
        <v>5</v>
      </c>
      <c r="M1583" s="4" t="inlineStr">
        <is>
          <t>baja</t>
        </is>
      </c>
      <c r="N1583" s="4" t="inlineStr">
        <is>
          <t>por encima de comparables</t>
        </is>
      </c>
      <c r="O1583" s="4" t="n"/>
    </row>
    <row r="1584">
      <c r="A1584" s="4" t="inlineStr">
        <is>
          <t>MD-0410</t>
        </is>
      </c>
      <c r="B1584" s="21" t="n">
        <v>46189</v>
      </c>
      <c r="C1584" s="4" t="inlineStr">
        <is>
          <t>Ciudad Lineal</t>
        </is>
      </c>
      <c r="D1584" s="4" t="n">
        <v>78</v>
      </c>
      <c r="E1584" s="4" t="inlineStr">
        <is>
          <t>buen estado</t>
        </is>
      </c>
      <c r="F1584" s="22" t="n">
        <v>378000</v>
      </c>
      <c r="G1584" s="23" t="n">
        <v>4846.15</v>
      </c>
      <c r="H1584" s="22" t="n">
        <v>384819</v>
      </c>
      <c r="I1584" s="23" t="n">
        <v>4933.57</v>
      </c>
      <c r="J1584" s="18" t="n">
        <v>-0.0177</v>
      </c>
      <c r="K1584" s="24" t="n">
        <v>54.4</v>
      </c>
      <c r="L1584" s="4" t="n">
        <v>30</v>
      </c>
      <c r="M1584" s="4" t="inlineStr">
        <is>
          <t>media</t>
        </is>
      </c>
      <c r="N1584" s="4" t="inlineStr">
        <is>
          <t>en linea con comparables</t>
        </is>
      </c>
      <c r="O1584" s="4" t="n"/>
    </row>
    <row r="1585">
      <c r="A1585" s="4" t="inlineStr">
        <is>
          <t>MD-0243</t>
        </is>
      </c>
      <c r="B1585" s="21" t="n">
        <v>46189</v>
      </c>
      <c r="C1585" s="4" t="inlineStr">
        <is>
          <t>Fuencarral-El Pardo</t>
        </is>
      </c>
      <c r="D1585" s="4" t="n">
        <v>119</v>
      </c>
      <c r="E1585" s="4" t="inlineStr">
        <is>
          <t>a reformar</t>
        </is>
      </c>
      <c r="F1585" s="22" t="n">
        <v>576000</v>
      </c>
      <c r="G1585" s="23" t="n">
        <v>4840.34</v>
      </c>
      <c r="H1585" s="22" t="n">
        <v>567810</v>
      </c>
      <c r="I1585" s="23" t="n">
        <v>4771.51</v>
      </c>
      <c r="J1585" s="18" t="n">
        <v>0.0144</v>
      </c>
      <c r="K1585" s="24" t="n">
        <v>46.4</v>
      </c>
      <c r="L1585" s="4" t="n">
        <v>32</v>
      </c>
      <c r="M1585" s="4" t="inlineStr">
        <is>
          <t>alta</t>
        </is>
      </c>
      <c r="N1585" s="4" t="inlineStr">
        <is>
          <t>en linea con comparables</t>
        </is>
      </c>
      <c r="O1585" s="4" t="n"/>
    </row>
    <row r="1586">
      <c r="A1586" s="4" t="inlineStr">
        <is>
          <t>MD-0765</t>
        </is>
      </c>
      <c r="B1586" s="21" t="n">
        <v>46189</v>
      </c>
      <c r="C1586" s="4" t="inlineStr">
        <is>
          <t>Centro</t>
        </is>
      </c>
      <c r="D1586" s="4" t="n">
        <v>29</v>
      </c>
      <c r="E1586" s="4" t="inlineStr">
        <is>
          <t>buen estado</t>
        </is>
      </c>
      <c r="F1586" s="22" t="n">
        <v>180000</v>
      </c>
      <c r="G1586" s="23" t="n">
        <v>6206.9</v>
      </c>
      <c r="H1586" s="22" t="n">
        <v>213837</v>
      </c>
      <c r="I1586" s="23" t="n">
        <v>7373.68</v>
      </c>
      <c r="J1586" s="18" t="n">
        <v>-0.1582</v>
      </c>
      <c r="K1586" s="24" t="n">
        <v>89.59999999999999</v>
      </c>
      <c r="L1586" s="4" t="n">
        <v>13</v>
      </c>
      <c r="M1586" s="4" t="inlineStr">
        <is>
          <t>media</t>
        </is>
      </c>
      <c r="N1586" s="4" t="inlineStr">
        <is>
          <t>por debajo de comparables</t>
        </is>
      </c>
      <c r="O1586" s="4" t="n"/>
    </row>
    <row r="1587">
      <c r="A1587" s="4" t="inlineStr">
        <is>
          <t>MD-1532</t>
        </is>
      </c>
      <c r="B1587" s="21" t="n">
        <v>46189</v>
      </c>
      <c r="C1587" s="4" t="inlineStr">
        <is>
          <t>Barajas</t>
        </is>
      </c>
      <c r="D1587" s="4" t="n">
        <v>77</v>
      </c>
      <c r="E1587" s="4" t="inlineStr">
        <is>
          <t>buen estado</t>
        </is>
      </c>
      <c r="F1587" s="22" t="n">
        <v>431000</v>
      </c>
      <c r="G1587" s="23" t="n">
        <v>5597.4</v>
      </c>
      <c r="H1587" s="22" t="n">
        <v>359735</v>
      </c>
      <c r="I1587" s="23" t="n">
        <v>4671.88</v>
      </c>
      <c r="J1587" s="18" t="n">
        <v>0.1981</v>
      </c>
      <c r="K1587" s="24" t="n">
        <v>0.5</v>
      </c>
      <c r="L1587" s="4" t="n">
        <v>11</v>
      </c>
      <c r="M1587" s="4" t="inlineStr">
        <is>
          <t>media</t>
        </is>
      </c>
      <c r="N1587" s="4" t="inlineStr">
        <is>
          <t>por encima de comparables</t>
        </is>
      </c>
      <c r="O1587" s="4" t="n"/>
    </row>
    <row r="1588">
      <c r="A1588" s="4" t="inlineStr">
        <is>
          <t>MD-1309</t>
        </is>
      </c>
      <c r="B1588" s="21" t="n">
        <v>46189</v>
      </c>
      <c r="C1588" s="4" t="inlineStr">
        <is>
          <t>Villa de Vallecas</t>
        </is>
      </c>
      <c r="D1588" s="4" t="n">
        <v>70</v>
      </c>
      <c r="E1588" s="4" t="inlineStr">
        <is>
          <t>a reformar</t>
        </is>
      </c>
      <c r="F1588" s="22" t="n">
        <v>183000</v>
      </c>
      <c r="G1588" s="23" t="n">
        <v>2614.29</v>
      </c>
      <c r="H1588" s="22" t="n">
        <v>197410</v>
      </c>
      <c r="I1588" s="23" t="n">
        <v>2820.14</v>
      </c>
      <c r="J1588" s="18" t="n">
        <v>-0.073</v>
      </c>
      <c r="K1588" s="24" t="n">
        <v>68.2</v>
      </c>
      <c r="L1588" s="4" t="n">
        <v>22</v>
      </c>
      <c r="M1588" s="4" t="inlineStr">
        <is>
          <t>media</t>
        </is>
      </c>
      <c r="N1588" s="4" t="inlineStr">
        <is>
          <t>en linea con comparables</t>
        </is>
      </c>
      <c r="O1588" s="4" t="n"/>
    </row>
    <row r="1589">
      <c r="A1589" s="4" t="inlineStr">
        <is>
          <t>MD-0812</t>
        </is>
      </c>
      <c r="B1589" s="21" t="n">
        <v>46190</v>
      </c>
      <c r="C1589" s="4" t="inlineStr">
        <is>
          <t>Villa de Vallecas</t>
        </is>
      </c>
      <c r="D1589" s="4" t="n">
        <v>89</v>
      </c>
      <c r="E1589" s="4" t="inlineStr">
        <is>
          <t>reformado</t>
        </is>
      </c>
      <c r="F1589" s="22" t="n">
        <v>283000</v>
      </c>
      <c r="G1589" s="23" t="n">
        <v>3179.78</v>
      </c>
      <c r="H1589" s="22" t="n">
        <v>321263</v>
      </c>
      <c r="I1589" s="23" t="n">
        <v>3609.7</v>
      </c>
      <c r="J1589" s="18" t="n">
        <v>-0.1191</v>
      </c>
      <c r="K1589" s="24" t="n">
        <v>79.8</v>
      </c>
      <c r="L1589" s="4" t="n">
        <v>20</v>
      </c>
      <c r="M1589" s="4" t="inlineStr">
        <is>
          <t>alta</t>
        </is>
      </c>
      <c r="N1589" s="4" t="inlineStr">
        <is>
          <t>por debajo de comparables</t>
        </is>
      </c>
      <c r="O1589" s="4" t="n"/>
    </row>
    <row r="1590">
      <c r="A1590" s="4" t="inlineStr">
        <is>
          <t>MD-1583</t>
        </is>
      </c>
      <c r="B1590" s="21" t="n">
        <v>46190</v>
      </c>
      <c r="C1590" s="4" t="inlineStr">
        <is>
          <t>Vicalvaro</t>
        </is>
      </c>
      <c r="D1590" s="4" t="n">
        <v>80</v>
      </c>
      <c r="E1590" s="4" t="inlineStr">
        <is>
          <t>a reformar</t>
        </is>
      </c>
      <c r="F1590" s="22" t="n">
        <v>207000</v>
      </c>
      <c r="G1590" s="23" t="n">
        <v>2587.5</v>
      </c>
      <c r="H1590" s="22" t="n">
        <v>248363</v>
      </c>
      <c r="I1590" s="23" t="n">
        <v>3104.54</v>
      </c>
      <c r="J1590" s="18" t="n">
        <v>-0.1665</v>
      </c>
      <c r="K1590" s="24" t="n">
        <v>91.59999999999999</v>
      </c>
      <c r="L1590" s="4" t="n">
        <v>25</v>
      </c>
      <c r="M1590" s="4" t="inlineStr">
        <is>
          <t>media</t>
        </is>
      </c>
      <c r="N1590" s="4" t="inlineStr">
        <is>
          <t>por debajo de comparables</t>
        </is>
      </c>
      <c r="O1590" s="4" t="n"/>
    </row>
    <row r="1591">
      <c r="A1591" s="4" t="inlineStr">
        <is>
          <t>MD-0130</t>
        </is>
      </c>
      <c r="B1591" s="21" t="n">
        <v>46190</v>
      </c>
      <c r="C1591" s="4" t="inlineStr">
        <is>
          <t>Vicalvaro</t>
        </is>
      </c>
      <c r="D1591" s="4" t="n">
        <v>129</v>
      </c>
      <c r="E1591" s="4" t="inlineStr">
        <is>
          <t>buen estado</t>
        </is>
      </c>
      <c r="F1591" s="22" t="n">
        <v>510000</v>
      </c>
      <c r="G1591" s="23" t="n">
        <v>3953.49</v>
      </c>
      <c r="H1591" s="22" t="n">
        <v>468982</v>
      </c>
      <c r="I1591" s="23" t="n">
        <v>3635.52</v>
      </c>
      <c r="J1591" s="18" t="n">
        <v>0.08749999999999999</v>
      </c>
      <c r="K1591" s="24" t="n">
        <v>28.1</v>
      </c>
      <c r="L1591" s="4" t="n">
        <v>12</v>
      </c>
      <c r="M1591" s="4" t="inlineStr">
        <is>
          <t>media</t>
        </is>
      </c>
      <c r="N1591" s="4" t="inlineStr">
        <is>
          <t>en linea con comparables</t>
        </is>
      </c>
      <c r="O1591" s="4" t="n"/>
    </row>
    <row r="1592">
      <c r="A1592" s="4" t="inlineStr">
        <is>
          <t>MD-0080</t>
        </is>
      </c>
      <c r="B1592" s="21" t="n">
        <v>46190</v>
      </c>
      <c r="C1592" s="4" t="inlineStr">
        <is>
          <t>Villa de Vallecas</t>
        </is>
      </c>
      <c r="D1592" s="4" t="n">
        <v>52</v>
      </c>
      <c r="E1592" s="4" t="inlineStr">
        <is>
          <t>buen estado</t>
        </is>
      </c>
      <c r="F1592" s="22" t="n">
        <v>143000</v>
      </c>
      <c r="G1592" s="23" t="n">
        <v>2750</v>
      </c>
      <c r="H1592" s="22" t="n">
        <v>206431</v>
      </c>
      <c r="I1592" s="23" t="n">
        <v>3969.83</v>
      </c>
      <c r="J1592" s="18" t="n">
        <v>-0.3073</v>
      </c>
      <c r="K1592" s="24" t="n">
        <v>100</v>
      </c>
      <c r="L1592" s="4" t="n">
        <v>16</v>
      </c>
      <c r="M1592" s="4" t="inlineStr">
        <is>
          <t>media</t>
        </is>
      </c>
      <c r="N1592" s="4" t="inlineStr">
        <is>
          <t>por debajo de comparables</t>
        </is>
      </c>
      <c r="O1592" s="4" t="n"/>
    </row>
    <row r="1593">
      <c r="A1593" s="4" t="inlineStr">
        <is>
          <t>MD-1687</t>
        </is>
      </c>
      <c r="B1593" s="21" t="n">
        <v>46190</v>
      </c>
      <c r="C1593" s="4" t="inlineStr">
        <is>
          <t>Salamanca</t>
        </is>
      </c>
      <c r="D1593" s="4" t="n">
        <v>41</v>
      </c>
      <c r="E1593" s="4" t="inlineStr">
        <is>
          <t>a reformar</t>
        </is>
      </c>
      <c r="F1593" s="22" t="n">
        <v>238000</v>
      </c>
      <c r="G1593" s="23" t="n">
        <v>5804.88</v>
      </c>
      <c r="H1593" s="22" t="n">
        <v>288382</v>
      </c>
      <c r="I1593" s="23" t="n">
        <v>7033.71</v>
      </c>
      <c r="J1593" s="18" t="n">
        <v>-0.1747</v>
      </c>
      <c r="K1593" s="24" t="n">
        <v>93.7</v>
      </c>
      <c r="L1593" s="4" t="n">
        <v>10</v>
      </c>
      <c r="M1593" s="4" t="inlineStr">
        <is>
          <t>media</t>
        </is>
      </c>
      <c r="N1593" s="4" t="inlineStr">
        <is>
          <t>por debajo de comparables</t>
        </is>
      </c>
      <c r="O1593" s="4" t="n"/>
    </row>
    <row r="1594">
      <c r="A1594" s="4" t="inlineStr">
        <is>
          <t>MD-1173</t>
        </is>
      </c>
      <c r="B1594" s="21" t="n">
        <v>46190</v>
      </c>
      <c r="C1594" s="4" t="inlineStr">
        <is>
          <t>Hortaleza</t>
        </is>
      </c>
      <c r="D1594" s="4" t="n">
        <v>59</v>
      </c>
      <c r="E1594" s="4" t="inlineStr">
        <is>
          <t>buen estado</t>
        </is>
      </c>
      <c r="F1594" s="22" t="n">
        <v>316000</v>
      </c>
      <c r="G1594" s="23" t="n">
        <v>5355.93</v>
      </c>
      <c r="H1594" s="22" t="n">
        <v>340900</v>
      </c>
      <c r="I1594" s="23" t="n">
        <v>5777.97</v>
      </c>
      <c r="J1594" s="18" t="n">
        <v>-0.073</v>
      </c>
      <c r="K1594" s="24" t="n">
        <v>68.3</v>
      </c>
      <c r="L1594" s="4" t="n">
        <v>16</v>
      </c>
      <c r="M1594" s="4" t="inlineStr">
        <is>
          <t>alta</t>
        </is>
      </c>
      <c r="N1594" s="4" t="inlineStr">
        <is>
          <t>en linea con comparables</t>
        </is>
      </c>
      <c r="O1594" s="4" t="n"/>
    </row>
    <row r="1595">
      <c r="A1595" s="4" t="inlineStr">
        <is>
          <t>MD-0788</t>
        </is>
      </c>
      <c r="B1595" s="21" t="n">
        <v>46190</v>
      </c>
      <c r="C1595" s="4" t="inlineStr">
        <is>
          <t>Tetuan</t>
        </is>
      </c>
      <c r="D1595" s="4" t="n">
        <v>65</v>
      </c>
      <c r="E1595" s="4" t="inlineStr">
        <is>
          <t>buen estado</t>
        </is>
      </c>
      <c r="F1595" s="22" t="n">
        <v>291000</v>
      </c>
      <c r="G1595" s="23" t="n">
        <v>4476.92</v>
      </c>
      <c r="H1595" s="22" t="n">
        <v>315942</v>
      </c>
      <c r="I1595" s="23" t="n">
        <v>4860.64</v>
      </c>
      <c r="J1595" s="18" t="n">
        <v>-0.0789</v>
      </c>
      <c r="K1595" s="24" t="n">
        <v>69.7</v>
      </c>
      <c r="L1595" s="4" t="n">
        <v>31</v>
      </c>
      <c r="M1595" s="4" t="inlineStr">
        <is>
          <t>alta</t>
        </is>
      </c>
      <c r="N1595" s="4" t="inlineStr">
        <is>
          <t>en linea con comparables</t>
        </is>
      </c>
      <c r="O1595" s="4" t="n"/>
    </row>
    <row r="1596">
      <c r="A1596" s="4" t="inlineStr">
        <is>
          <t>MD-1812</t>
        </is>
      </c>
      <c r="B1596" s="21" t="n">
        <v>46190</v>
      </c>
      <c r="C1596" s="4" t="inlineStr">
        <is>
          <t>Vicalvaro</t>
        </is>
      </c>
      <c r="D1596" s="4" t="n">
        <v>126</v>
      </c>
      <c r="E1596" s="4" t="inlineStr">
        <is>
          <t>a reformar</t>
        </is>
      </c>
      <c r="F1596" s="22" t="n">
        <v>471000</v>
      </c>
      <c r="G1596" s="23" t="n">
        <v>3738.1</v>
      </c>
      <c r="H1596" s="22" t="n">
        <v>392557</v>
      </c>
      <c r="I1596" s="23" t="n">
        <v>3115.53</v>
      </c>
      <c r="J1596" s="18" t="n">
        <v>0.1998</v>
      </c>
      <c r="K1596" s="24" t="n">
        <v>0</v>
      </c>
      <c r="L1596" s="4" t="n">
        <v>12</v>
      </c>
      <c r="M1596" s="4" t="inlineStr">
        <is>
          <t>media</t>
        </is>
      </c>
      <c r="N1596" s="4" t="inlineStr">
        <is>
          <t>por encima de comparables</t>
        </is>
      </c>
      <c r="O1596" s="4" t="n"/>
    </row>
    <row r="1597">
      <c r="A1597" s="4" t="inlineStr">
        <is>
          <t>MD-1661</t>
        </is>
      </c>
      <c r="B1597" s="21" t="n">
        <v>46191</v>
      </c>
      <c r="C1597" s="4" t="inlineStr">
        <is>
          <t>Puente de Vallecas</t>
        </is>
      </c>
      <c r="D1597" s="4" t="n">
        <v>97</v>
      </c>
      <c r="E1597" s="4" t="inlineStr">
        <is>
          <t>buen estado</t>
        </is>
      </c>
      <c r="F1597" s="22" t="n">
        <v>269000</v>
      </c>
      <c r="G1597" s="23" t="n">
        <v>2773.2</v>
      </c>
      <c r="H1597" s="22" t="n">
        <v>245605</v>
      </c>
      <c r="I1597" s="23" t="n">
        <v>2532.01</v>
      </c>
      <c r="J1597" s="18" t="n">
        <v>0.0953</v>
      </c>
      <c r="K1597" s="24" t="n">
        <v>26.2</v>
      </c>
      <c r="L1597" s="4" t="n">
        <v>24</v>
      </c>
      <c r="M1597" s="4" t="inlineStr">
        <is>
          <t>alta</t>
        </is>
      </c>
      <c r="N1597" s="4" t="inlineStr">
        <is>
          <t>en linea con comparables</t>
        </is>
      </c>
      <c r="O1597" s="4" t="n"/>
    </row>
    <row r="1598">
      <c r="A1598" s="4" t="inlineStr">
        <is>
          <t>MD-1020</t>
        </is>
      </c>
      <c r="B1598" s="21" t="n">
        <v>46191</v>
      </c>
      <c r="C1598" s="4" t="inlineStr">
        <is>
          <t>Arganzuela</t>
        </is>
      </c>
      <c r="D1598" s="4" t="n">
        <v>111</v>
      </c>
      <c r="E1598" s="4" t="inlineStr">
        <is>
          <t>buen estado</t>
        </is>
      </c>
      <c r="F1598" s="22" t="n">
        <v>746000</v>
      </c>
      <c r="G1598" s="23" t="n">
        <v>6720.72</v>
      </c>
      <c r="H1598" s="22" t="n">
        <v>646268</v>
      </c>
      <c r="I1598" s="23" t="n">
        <v>5822.23</v>
      </c>
      <c r="J1598" s="18" t="n">
        <v>0.1543</v>
      </c>
      <c r="K1598" s="24" t="n">
        <v>11.4</v>
      </c>
      <c r="L1598" s="4" t="n">
        <v>7</v>
      </c>
      <c r="M1598" s="4" t="inlineStr">
        <is>
          <t>baja</t>
        </is>
      </c>
      <c r="N1598" s="4" t="inlineStr">
        <is>
          <t>por encima de comparables</t>
        </is>
      </c>
      <c r="O1598" s="4" t="n"/>
    </row>
    <row r="1599">
      <c r="A1599" s="4" t="inlineStr">
        <is>
          <t>MD-1140</t>
        </is>
      </c>
      <c r="B1599" s="21" t="n">
        <v>46191</v>
      </c>
      <c r="C1599" s="4" t="inlineStr">
        <is>
          <t>Usera</t>
        </is>
      </c>
      <c r="D1599" s="4" t="n">
        <v>95</v>
      </c>
      <c r="E1599" s="4" t="inlineStr">
        <is>
          <t>a reformar</t>
        </is>
      </c>
      <c r="F1599" s="22" t="n">
        <v>202000</v>
      </c>
      <c r="G1599" s="23" t="n">
        <v>2126.32</v>
      </c>
      <c r="H1599" s="22" t="n">
        <v>248186</v>
      </c>
      <c r="I1599" s="23" t="n">
        <v>2612.48</v>
      </c>
      <c r="J1599" s="18" t="n">
        <v>-0.1861</v>
      </c>
      <c r="K1599" s="24" t="n">
        <v>96.5</v>
      </c>
      <c r="L1599" s="4" t="n">
        <v>10</v>
      </c>
      <c r="M1599" s="4" t="inlineStr">
        <is>
          <t>media</t>
        </is>
      </c>
      <c r="N1599" s="4" t="inlineStr">
        <is>
          <t>por debajo de comparables</t>
        </is>
      </c>
      <c r="O1599" s="4" t="n"/>
    </row>
    <row r="1600">
      <c r="A1600" s="4" t="inlineStr">
        <is>
          <t>MD-0343</t>
        </is>
      </c>
      <c r="B1600" s="21" t="n">
        <v>46191</v>
      </c>
      <c r="C1600" s="4" t="inlineStr">
        <is>
          <t>Fuencarral-El Pardo</t>
        </is>
      </c>
      <c r="D1600" s="4" t="n">
        <v>93</v>
      </c>
      <c r="E1600" s="4" t="inlineStr">
        <is>
          <t>buen estado</t>
        </is>
      </c>
      <c r="F1600" s="22" t="n">
        <v>601000</v>
      </c>
      <c r="G1600" s="23" t="n">
        <v>6462.37</v>
      </c>
      <c r="H1600" s="22" t="n">
        <v>524161</v>
      </c>
      <c r="I1600" s="23" t="n">
        <v>5636.14</v>
      </c>
      <c r="J1600" s="18" t="n">
        <v>0.1466</v>
      </c>
      <c r="K1600" s="24" t="n">
        <v>13.4</v>
      </c>
      <c r="L1600" s="4" t="n">
        <v>29</v>
      </c>
      <c r="M1600" s="4" t="inlineStr">
        <is>
          <t>alta</t>
        </is>
      </c>
      <c r="N1600" s="4" t="inlineStr">
        <is>
          <t>por encima de comparables</t>
        </is>
      </c>
      <c r="O1600" s="4" t="n"/>
    </row>
    <row r="1601">
      <c r="A1601" s="4" t="inlineStr">
        <is>
          <t>MD-1610</t>
        </is>
      </c>
      <c r="B1601" s="21" t="n">
        <v>46192</v>
      </c>
      <c r="C1601" s="4" t="inlineStr">
        <is>
          <t>Villa de Vallecas</t>
        </is>
      </c>
      <c r="D1601" s="4" t="n">
        <v>69</v>
      </c>
      <c r="E1601" s="4" t="inlineStr">
        <is>
          <t>buen estado</t>
        </is>
      </c>
      <c r="F1601" s="22" t="n">
        <v>266000</v>
      </c>
      <c r="G1601" s="23" t="n">
        <v>3855.07</v>
      </c>
      <c r="H1601" s="22" t="n">
        <v>203004</v>
      </c>
      <c r="I1601" s="23" t="n">
        <v>2942.09</v>
      </c>
      <c r="J1601" s="18" t="n">
        <v>0.3103</v>
      </c>
      <c r="K1601" s="24" t="n">
        <v>0</v>
      </c>
      <c r="L1601" s="4" t="n">
        <v>21</v>
      </c>
      <c r="M1601" s="4" t="inlineStr">
        <is>
          <t>media</t>
        </is>
      </c>
      <c r="N1601" s="4" t="inlineStr">
        <is>
          <t>por encima de comparables</t>
        </is>
      </c>
      <c r="O1601" s="4" t="n"/>
    </row>
    <row r="1602">
      <c r="A1602" s="4" t="inlineStr">
        <is>
          <t>MD-0177</t>
        </is>
      </c>
      <c r="B1602" s="21" t="n">
        <v>46192</v>
      </c>
      <c r="C1602" s="4" t="inlineStr">
        <is>
          <t>Latina</t>
        </is>
      </c>
      <c r="D1602" s="4" t="n">
        <v>63</v>
      </c>
      <c r="E1602" s="4" t="inlineStr">
        <is>
          <t>buen estado</t>
        </is>
      </c>
      <c r="F1602" s="22" t="n">
        <v>228000</v>
      </c>
      <c r="G1602" s="23" t="n">
        <v>3619.05</v>
      </c>
      <c r="H1602" s="22" t="n">
        <v>208279</v>
      </c>
      <c r="I1602" s="23" t="n">
        <v>3306.02</v>
      </c>
      <c r="J1602" s="18" t="n">
        <v>0.09470000000000001</v>
      </c>
      <c r="K1602" s="24" t="n">
        <v>26.3</v>
      </c>
      <c r="L1602" s="4" t="n">
        <v>48</v>
      </c>
      <c r="M1602" s="4" t="inlineStr">
        <is>
          <t>media</t>
        </is>
      </c>
      <c r="N1602" s="4" t="inlineStr">
        <is>
          <t>en linea con comparables</t>
        </is>
      </c>
      <c r="O1602" s="4" t="n"/>
    </row>
    <row r="1603">
      <c r="A1603" s="4" t="inlineStr">
        <is>
          <t>MD-1655</t>
        </is>
      </c>
      <c r="B1603" s="21" t="n">
        <v>46192</v>
      </c>
      <c r="C1603" s="4" t="inlineStr">
        <is>
          <t>Barajas</t>
        </is>
      </c>
      <c r="D1603" s="4" t="n">
        <v>94</v>
      </c>
      <c r="E1603" s="4" t="inlineStr">
        <is>
          <t>reformado</t>
        </is>
      </c>
      <c r="F1603" s="22" t="n">
        <v>578000</v>
      </c>
      <c r="G1603" s="23" t="n">
        <v>6148.94</v>
      </c>
      <c r="H1603" s="22" t="n">
        <v>471332</v>
      </c>
      <c r="I1603" s="23" t="n">
        <v>5014.17</v>
      </c>
      <c r="J1603" s="18" t="n">
        <v>0.2263</v>
      </c>
      <c r="K1603" s="24" t="n">
        <v>0</v>
      </c>
      <c r="L1603" s="4" t="n">
        <v>8</v>
      </c>
      <c r="M1603" s="4" t="inlineStr">
        <is>
          <t>media</t>
        </is>
      </c>
      <c r="N1603" s="4" t="inlineStr">
        <is>
          <t>por encima de comparables</t>
        </is>
      </c>
      <c r="O1603" s="4" t="n"/>
    </row>
    <row r="1604">
      <c r="A1604" s="4" t="inlineStr">
        <is>
          <t>MD-1944</t>
        </is>
      </c>
      <c r="B1604" s="21" t="n">
        <v>46192</v>
      </c>
      <c r="C1604" s="4" t="inlineStr">
        <is>
          <t>Villaverde</t>
        </is>
      </c>
      <c r="D1604" s="4" t="n">
        <v>42</v>
      </c>
      <c r="E1604" s="4" t="inlineStr">
        <is>
          <t>reformado</t>
        </is>
      </c>
      <c r="F1604" s="22" t="n">
        <v>89000</v>
      </c>
      <c r="G1604" s="23" t="n">
        <v>2119.05</v>
      </c>
      <c r="H1604" s="22" t="n"/>
      <c r="I1604" s="23" t="n"/>
      <c r="J1604" s="18" t="n"/>
      <c r="K1604" s="24" t="n"/>
      <c r="L1604" s="4" t="n">
        <v>4</v>
      </c>
      <c r="M1604" s="4" t="inlineStr">
        <is>
          <t>sin muestra</t>
        </is>
      </c>
      <c r="N1604" s="4" t="inlineStr">
        <is>
          <t>no valorable</t>
        </is>
      </c>
      <c r="O1604" s="4" t="inlineStr">
        <is>
          <t>segmento con pocas operaciones comparables</t>
        </is>
      </c>
    </row>
    <row r="1605">
      <c r="A1605" s="4" t="inlineStr">
        <is>
          <t>MD-1331</t>
        </is>
      </c>
      <c r="B1605" s="21" t="n">
        <v>46192</v>
      </c>
      <c r="C1605" s="4" t="inlineStr">
        <is>
          <t>Carabanchel</t>
        </is>
      </c>
      <c r="D1605" s="4" t="n">
        <v>134</v>
      </c>
      <c r="E1605" s="4" t="inlineStr">
        <is>
          <t>reformado</t>
        </is>
      </c>
      <c r="F1605" s="22" t="n">
        <v>368000</v>
      </c>
      <c r="G1605" s="23" t="n">
        <v>2746.27</v>
      </c>
      <c r="H1605" s="22" t="n"/>
      <c r="I1605" s="23" t="n"/>
      <c r="J1605" s="18" t="n"/>
      <c r="K1605" s="24" t="n"/>
      <c r="L1605" s="4" t="n">
        <v>3</v>
      </c>
      <c r="M1605" s="4" t="inlineStr">
        <is>
          <t>sin muestra</t>
        </is>
      </c>
      <c r="N1605" s="4" t="inlineStr">
        <is>
          <t>no valorable</t>
        </is>
      </c>
      <c r="O1605" s="4" t="inlineStr">
        <is>
          <t>segmento con pocas operaciones comparables</t>
        </is>
      </c>
    </row>
    <row r="1606">
      <c r="A1606" s="4" t="inlineStr">
        <is>
          <t>MD-0828</t>
        </is>
      </c>
      <c r="B1606" s="21" t="n">
        <v>46192</v>
      </c>
      <c r="C1606" s="4" t="inlineStr">
        <is>
          <t>Fuencarral-El Pardo</t>
        </is>
      </c>
      <c r="D1606" s="4" t="n">
        <v>160</v>
      </c>
      <c r="E1606" s="4" t="inlineStr">
        <is>
          <t>obra nueva</t>
        </is>
      </c>
      <c r="F1606" s="22" t="n">
        <v>983000</v>
      </c>
      <c r="G1606" s="23" t="n">
        <v>6143.75</v>
      </c>
      <c r="H1606" s="22" t="n">
        <v>849469</v>
      </c>
      <c r="I1606" s="23" t="n">
        <v>5309.18</v>
      </c>
      <c r="J1606" s="18" t="n">
        <v>0.1572</v>
      </c>
      <c r="K1606" s="24" t="n">
        <v>10.7</v>
      </c>
      <c r="L1606" s="4" t="n">
        <v>26</v>
      </c>
      <c r="M1606" s="4" t="inlineStr">
        <is>
          <t>alta</t>
        </is>
      </c>
      <c r="N1606" s="4" t="inlineStr">
        <is>
          <t>por encima de comparables</t>
        </is>
      </c>
      <c r="O1606" s="4" t="n"/>
    </row>
    <row r="1607">
      <c r="A1607" s="4" t="inlineStr">
        <is>
          <t>MD-1311</t>
        </is>
      </c>
      <c r="B1607" s="21" t="n">
        <v>46192</v>
      </c>
      <c r="C1607" s="4" t="inlineStr">
        <is>
          <t>Vicalvaro</t>
        </is>
      </c>
      <c r="D1607" s="4" t="n">
        <v>71</v>
      </c>
      <c r="E1607" s="4" t="inlineStr">
        <is>
          <t>buen estado</t>
        </is>
      </c>
      <c r="F1607" s="22" t="n">
        <v>243000</v>
      </c>
      <c r="G1607" s="23" t="n">
        <v>3422.54</v>
      </c>
      <c r="H1607" s="22" t="n">
        <v>257211</v>
      </c>
      <c r="I1607" s="23" t="n">
        <v>3622.7</v>
      </c>
      <c r="J1607" s="18" t="n">
        <v>-0.0553</v>
      </c>
      <c r="K1607" s="24" t="n">
        <v>63.8</v>
      </c>
      <c r="L1607" s="4" t="n">
        <v>23</v>
      </c>
      <c r="M1607" s="4" t="inlineStr">
        <is>
          <t>media</t>
        </is>
      </c>
      <c r="N1607" s="4" t="inlineStr">
        <is>
          <t>en linea con comparables</t>
        </is>
      </c>
      <c r="O1607" s="4" t="n"/>
    </row>
    <row r="1608">
      <c r="A1608" s="4" t="inlineStr">
        <is>
          <t>MD-0206</t>
        </is>
      </c>
      <c r="B1608" s="21" t="n">
        <v>46193</v>
      </c>
      <c r="C1608" s="4" t="inlineStr">
        <is>
          <t>Ciudad Lineal</t>
        </is>
      </c>
      <c r="D1608" s="4" t="n">
        <v>46</v>
      </c>
      <c r="E1608" s="4" t="inlineStr">
        <is>
          <t>buen estado</t>
        </is>
      </c>
      <c r="F1608" s="22" t="n">
        <v>198000</v>
      </c>
      <c r="G1608" s="23" t="n">
        <v>4304.35</v>
      </c>
      <c r="H1608" s="22" t="n">
        <v>187629</v>
      </c>
      <c r="I1608" s="23" t="n">
        <v>4078.9</v>
      </c>
      <c r="J1608" s="18" t="n">
        <v>0.0553</v>
      </c>
      <c r="K1608" s="24" t="n">
        <v>36.2</v>
      </c>
      <c r="L1608" s="4" t="n">
        <v>33</v>
      </c>
      <c r="M1608" s="4" t="inlineStr">
        <is>
          <t>media</t>
        </is>
      </c>
      <c r="N1608" s="4" t="inlineStr">
        <is>
          <t>en linea con comparables</t>
        </is>
      </c>
      <c r="O1608" s="4" t="n"/>
    </row>
    <row r="1609">
      <c r="A1609" s="4" t="inlineStr">
        <is>
          <t>MD-0384</t>
        </is>
      </c>
      <c r="B1609" s="21" t="n">
        <v>46193</v>
      </c>
      <c r="C1609" s="4" t="inlineStr">
        <is>
          <t>Tetuan</t>
        </is>
      </c>
      <c r="D1609" s="4" t="n">
        <v>171</v>
      </c>
      <c r="E1609" s="4" t="inlineStr">
        <is>
          <t>buen estado</t>
        </is>
      </c>
      <c r="F1609" s="22" t="n">
        <v>794000</v>
      </c>
      <c r="G1609" s="23" t="n">
        <v>4643.27</v>
      </c>
      <c r="H1609" s="22" t="n">
        <v>797734</v>
      </c>
      <c r="I1609" s="23" t="n">
        <v>4665.11</v>
      </c>
      <c r="J1609" s="18" t="n">
        <v>-0.0047</v>
      </c>
      <c r="K1609" s="24" t="n">
        <v>51.2</v>
      </c>
      <c r="L1609" s="4" t="n">
        <v>10</v>
      </c>
      <c r="M1609" s="4" t="inlineStr">
        <is>
          <t>media</t>
        </is>
      </c>
      <c r="N1609" s="4" t="inlineStr">
        <is>
          <t>en linea con comparables</t>
        </is>
      </c>
      <c r="O1609" s="4" t="n"/>
    </row>
    <row r="1610">
      <c r="A1610" s="4" t="inlineStr">
        <is>
          <t>MD-1262</t>
        </is>
      </c>
      <c r="B1610" s="21" t="n">
        <v>46193</v>
      </c>
      <c r="C1610" s="4" t="inlineStr">
        <is>
          <t>Chamberi</t>
        </is>
      </c>
      <c r="D1610" s="4" t="n">
        <v>161</v>
      </c>
      <c r="E1610" s="4" t="inlineStr">
        <is>
          <t>a reformar</t>
        </is>
      </c>
      <c r="F1610" s="22" t="n">
        <v>850000</v>
      </c>
      <c r="G1610" s="23" t="n">
        <v>5279.5</v>
      </c>
      <c r="H1610" s="22" t="n">
        <v>1014607</v>
      </c>
      <c r="I1610" s="23" t="n">
        <v>6301.91</v>
      </c>
      <c r="J1610" s="18" t="n">
        <v>-0.1622</v>
      </c>
      <c r="K1610" s="24" t="n">
        <v>90.59999999999999</v>
      </c>
      <c r="L1610" s="4" t="n">
        <v>14</v>
      </c>
      <c r="M1610" s="4" t="inlineStr">
        <is>
          <t>media</t>
        </is>
      </c>
      <c r="N1610" s="4" t="inlineStr">
        <is>
          <t>por debajo de comparables</t>
        </is>
      </c>
      <c r="O1610" s="4" t="n"/>
    </row>
    <row r="1611">
      <c r="A1611" s="4" t="inlineStr">
        <is>
          <t>MD-1104</t>
        </is>
      </c>
      <c r="B1611" s="21" t="n">
        <v>46194</v>
      </c>
      <c r="C1611" s="4" t="inlineStr">
        <is>
          <t>Carabanchel</t>
        </is>
      </c>
      <c r="D1611" s="4" t="n">
        <v>143</v>
      </c>
      <c r="E1611" s="4" t="inlineStr">
        <is>
          <t>reformado</t>
        </is>
      </c>
      <c r="F1611" s="22" t="n">
        <v>546000</v>
      </c>
      <c r="G1611" s="23" t="n">
        <v>3818.18</v>
      </c>
      <c r="H1611" s="22" t="n">
        <v>499216</v>
      </c>
      <c r="I1611" s="23" t="n">
        <v>3491.02</v>
      </c>
      <c r="J1611" s="18" t="n">
        <v>0.09370000000000001</v>
      </c>
      <c r="K1611" s="24" t="n">
        <v>26.6</v>
      </c>
      <c r="L1611" s="4" t="n">
        <v>5</v>
      </c>
      <c r="M1611" s="4" t="inlineStr">
        <is>
          <t>baja</t>
        </is>
      </c>
      <c r="N1611" s="4" t="inlineStr">
        <is>
          <t>en linea con comparables</t>
        </is>
      </c>
      <c r="O1611" s="4" t="n"/>
    </row>
    <row r="1612">
      <c r="A1612" s="4" t="inlineStr">
        <is>
          <t>MD-0890</t>
        </is>
      </c>
      <c r="B1612" s="21" t="n">
        <v>46194</v>
      </c>
      <c r="C1612" s="4" t="inlineStr">
        <is>
          <t>Retiro</t>
        </is>
      </c>
      <c r="D1612" s="4" t="n">
        <v>84</v>
      </c>
      <c r="E1612" s="4" t="inlineStr">
        <is>
          <t>reformado</t>
        </is>
      </c>
      <c r="F1612" s="22" t="n">
        <v>665000</v>
      </c>
      <c r="G1612" s="23" t="n">
        <v>7916.67</v>
      </c>
      <c r="H1612" s="22" t="n">
        <v>668024</v>
      </c>
      <c r="I1612" s="23" t="n">
        <v>7952.66</v>
      </c>
      <c r="J1612" s="18" t="n">
        <v>-0.0045</v>
      </c>
      <c r="K1612" s="24" t="n">
        <v>51.1</v>
      </c>
      <c r="L1612" s="4" t="n">
        <v>16</v>
      </c>
      <c r="M1612" s="4" t="inlineStr">
        <is>
          <t>alta</t>
        </is>
      </c>
      <c r="N1612" s="4" t="inlineStr">
        <is>
          <t>en linea con comparables</t>
        </is>
      </c>
      <c r="O1612" s="4" t="n"/>
    </row>
    <row r="1613">
      <c r="A1613" s="4" t="inlineStr">
        <is>
          <t>MD-1917</t>
        </is>
      </c>
      <c r="B1613" s="21" t="n">
        <v>46194</v>
      </c>
      <c r="C1613" s="4" t="inlineStr">
        <is>
          <t>Tetuan</t>
        </is>
      </c>
      <c r="D1613" s="4" t="n">
        <v>61</v>
      </c>
      <c r="E1613" s="4" t="inlineStr">
        <is>
          <t>buen estado</t>
        </is>
      </c>
      <c r="F1613" s="22" t="n">
        <v>215000</v>
      </c>
      <c r="G1613" s="23" t="n">
        <v>3524.59</v>
      </c>
      <c r="H1613" s="22" t="n">
        <v>291098</v>
      </c>
      <c r="I1613" s="23" t="n">
        <v>4772.1</v>
      </c>
      <c r="J1613" s="18" t="n">
        <v>-0.2614</v>
      </c>
      <c r="K1613" s="24" t="n">
        <v>100</v>
      </c>
      <c r="L1613" s="4" t="n">
        <v>27</v>
      </c>
      <c r="M1613" s="4" t="inlineStr">
        <is>
          <t>media</t>
        </is>
      </c>
      <c r="N1613" s="4" t="inlineStr">
        <is>
          <t>por debajo de comparables</t>
        </is>
      </c>
      <c r="O1613" s="4" t="n"/>
    </row>
    <row r="1614">
      <c r="A1614" s="4" t="inlineStr">
        <is>
          <t>MD-0970</t>
        </is>
      </c>
      <c r="B1614" s="21" t="n">
        <v>46195</v>
      </c>
      <c r="C1614" s="4" t="inlineStr">
        <is>
          <t>Carabanchel</t>
        </is>
      </c>
      <c r="D1614" s="4" t="n">
        <v>77</v>
      </c>
      <c r="E1614" s="4" t="inlineStr">
        <is>
          <t>a reformar</t>
        </is>
      </c>
      <c r="F1614" s="22" t="n">
        <v>216000</v>
      </c>
      <c r="G1614" s="23" t="n">
        <v>2805.19</v>
      </c>
      <c r="H1614" s="22" t="n">
        <v>217760</v>
      </c>
      <c r="I1614" s="23" t="n">
        <v>2828.05</v>
      </c>
      <c r="J1614" s="18" t="n">
        <v>-0.0081</v>
      </c>
      <c r="K1614" s="24" t="n">
        <v>52</v>
      </c>
      <c r="L1614" s="4" t="n">
        <v>42</v>
      </c>
      <c r="M1614" s="4" t="inlineStr">
        <is>
          <t>media</t>
        </is>
      </c>
      <c r="N1614" s="4" t="inlineStr">
        <is>
          <t>en linea con comparables</t>
        </is>
      </c>
      <c r="O1614" s="4" t="n"/>
    </row>
    <row r="1615">
      <c r="A1615" s="4" t="inlineStr">
        <is>
          <t>MD-0028</t>
        </is>
      </c>
      <c r="B1615" s="21" t="n">
        <v>46195</v>
      </c>
      <c r="C1615" s="4" t="inlineStr">
        <is>
          <t>Villa de Vallecas</t>
        </is>
      </c>
      <c r="D1615" s="4" t="n">
        <v>89</v>
      </c>
      <c r="E1615" s="4" t="inlineStr">
        <is>
          <t>reformado</t>
        </is>
      </c>
      <c r="F1615" s="22" t="n">
        <v>370000</v>
      </c>
      <c r="G1615" s="23" t="n">
        <v>4157.3</v>
      </c>
      <c r="H1615" s="22" t="n">
        <v>361040</v>
      </c>
      <c r="I1615" s="23" t="n">
        <v>4056.63</v>
      </c>
      <c r="J1615" s="18" t="n">
        <v>0.0248</v>
      </c>
      <c r="K1615" s="24" t="n">
        <v>43.8</v>
      </c>
      <c r="L1615" s="4" t="n">
        <v>20</v>
      </c>
      <c r="M1615" s="4" t="inlineStr">
        <is>
          <t>alta</t>
        </is>
      </c>
      <c r="N1615" s="4" t="inlineStr">
        <is>
          <t>en linea con comparables</t>
        </is>
      </c>
      <c r="O1615" s="4" t="n"/>
    </row>
    <row r="1616">
      <c r="A1616" s="4" t="inlineStr">
        <is>
          <t>MD-1121</t>
        </is>
      </c>
      <c r="B1616" s="21" t="n">
        <v>46195</v>
      </c>
      <c r="C1616" s="4" t="inlineStr">
        <is>
          <t>Vicalvaro</t>
        </is>
      </c>
      <c r="D1616" s="4" t="n">
        <v>70</v>
      </c>
      <c r="E1616" s="4" t="inlineStr">
        <is>
          <t>a reformar</t>
        </is>
      </c>
      <c r="F1616" s="22" t="n">
        <v>240000</v>
      </c>
      <c r="G1616" s="23" t="n">
        <v>3428.57</v>
      </c>
      <c r="H1616" s="22" t="n">
        <v>216612</v>
      </c>
      <c r="I1616" s="23" t="n">
        <v>3094.46</v>
      </c>
      <c r="J1616" s="18" t="n">
        <v>0.108</v>
      </c>
      <c r="K1616" s="24" t="n">
        <v>23</v>
      </c>
      <c r="L1616" s="4" t="n">
        <v>23</v>
      </c>
      <c r="M1616" s="4" t="inlineStr">
        <is>
          <t>media</t>
        </is>
      </c>
      <c r="N1616" s="4" t="inlineStr">
        <is>
          <t>por encima de comparables</t>
        </is>
      </c>
      <c r="O1616" s="4" t="n"/>
    </row>
    <row r="1617">
      <c r="A1617" s="4" t="inlineStr">
        <is>
          <t>MD-1822</t>
        </is>
      </c>
      <c r="B1617" s="21" t="n">
        <v>46195</v>
      </c>
      <c r="C1617" s="4" t="inlineStr">
        <is>
          <t>Chamberi</t>
        </is>
      </c>
      <c r="D1617" s="4" t="n">
        <v>171</v>
      </c>
      <c r="E1617" s="4" t="inlineStr">
        <is>
          <t>buen estado</t>
        </is>
      </c>
      <c r="F1617" s="22" t="n">
        <v>1246000</v>
      </c>
      <c r="G1617" s="23" t="n">
        <v>7286.55</v>
      </c>
      <c r="H1617" s="22" t="n">
        <v>1196982</v>
      </c>
      <c r="I1617" s="23" t="n">
        <v>6999.89</v>
      </c>
      <c r="J1617" s="18" t="n">
        <v>0.041</v>
      </c>
      <c r="K1617" s="24" t="n">
        <v>39.8</v>
      </c>
      <c r="L1617" s="4" t="n">
        <v>14</v>
      </c>
      <c r="M1617" s="4" t="inlineStr">
        <is>
          <t>media</t>
        </is>
      </c>
      <c r="N1617" s="4" t="inlineStr">
        <is>
          <t>en linea con comparables</t>
        </is>
      </c>
      <c r="O1617" s="4" t="n"/>
    </row>
    <row r="1618">
      <c r="A1618" s="4" t="inlineStr">
        <is>
          <t>MD-1108</t>
        </is>
      </c>
      <c r="B1618" s="21" t="n">
        <v>46195</v>
      </c>
      <c r="C1618" s="4" t="inlineStr">
        <is>
          <t>Puente de Vallecas</t>
        </is>
      </c>
      <c r="D1618" s="4" t="n">
        <v>105</v>
      </c>
      <c r="E1618" s="4" t="inlineStr">
        <is>
          <t>buen estado</t>
        </is>
      </c>
      <c r="F1618" s="22" t="n">
        <v>252000</v>
      </c>
      <c r="G1618" s="23" t="n">
        <v>2400</v>
      </c>
      <c r="H1618" s="22" t="n">
        <v>260212</v>
      </c>
      <c r="I1618" s="23" t="n">
        <v>2478.21</v>
      </c>
      <c r="J1618" s="18" t="n">
        <v>-0.0316</v>
      </c>
      <c r="K1618" s="24" t="n">
        <v>57.9</v>
      </c>
      <c r="L1618" s="4" t="n">
        <v>15</v>
      </c>
      <c r="M1618" s="4" t="inlineStr">
        <is>
          <t>alta</t>
        </is>
      </c>
      <c r="N1618" s="4" t="inlineStr">
        <is>
          <t>en linea con comparables</t>
        </is>
      </c>
      <c r="O1618" s="4" t="n"/>
    </row>
    <row r="1619">
      <c r="A1619" s="4" t="inlineStr">
        <is>
          <t>MD-0716</t>
        </is>
      </c>
      <c r="B1619" s="21" t="n">
        <v>46195</v>
      </c>
      <c r="C1619" s="4" t="inlineStr">
        <is>
          <t>Carabanchel</t>
        </is>
      </c>
      <c r="D1619" s="4" t="n">
        <v>64</v>
      </c>
      <c r="E1619" s="4" t="inlineStr">
        <is>
          <t>a reformar</t>
        </is>
      </c>
      <c r="F1619" s="22" t="n">
        <v>172000</v>
      </c>
      <c r="G1619" s="23" t="n">
        <v>2687.5</v>
      </c>
      <c r="H1619" s="22" t="n">
        <v>184023</v>
      </c>
      <c r="I1619" s="23" t="n">
        <v>2875.36</v>
      </c>
      <c r="J1619" s="18" t="n">
        <v>-0.0653</v>
      </c>
      <c r="K1619" s="24" t="n">
        <v>66.3</v>
      </c>
      <c r="L1619" s="4" t="n">
        <v>45</v>
      </c>
      <c r="M1619" s="4" t="inlineStr">
        <is>
          <t>alta</t>
        </is>
      </c>
      <c r="N1619" s="4" t="inlineStr">
        <is>
          <t>en linea con comparables</t>
        </is>
      </c>
      <c r="O1619" s="4" t="n"/>
    </row>
    <row r="1620">
      <c r="A1620" s="4" t="inlineStr">
        <is>
          <t>MD-1135</t>
        </is>
      </c>
      <c r="B1620" s="21" t="n">
        <v>46196</v>
      </c>
      <c r="C1620" s="4" t="inlineStr">
        <is>
          <t>Ciudad Lineal</t>
        </is>
      </c>
      <c r="D1620" s="4" t="n">
        <v>64</v>
      </c>
      <c r="E1620" s="4" t="inlineStr">
        <is>
          <t>buen estado</t>
        </is>
      </c>
      <c r="F1620" s="22" t="n">
        <v>274000</v>
      </c>
      <c r="G1620" s="23" t="n">
        <v>4281.25</v>
      </c>
      <c r="H1620" s="22" t="n">
        <v>278219</v>
      </c>
      <c r="I1620" s="23" t="n">
        <v>4347.18</v>
      </c>
      <c r="J1620" s="18" t="n">
        <v>-0.0152</v>
      </c>
      <c r="K1620" s="24" t="n">
        <v>53.8</v>
      </c>
      <c r="L1620" s="4" t="n">
        <v>31</v>
      </c>
      <c r="M1620" s="4" t="inlineStr">
        <is>
          <t>media</t>
        </is>
      </c>
      <c r="N1620" s="4" t="inlineStr">
        <is>
          <t>en linea con comparables</t>
        </is>
      </c>
      <c r="O1620" s="4" t="n"/>
    </row>
    <row r="1621">
      <c r="A1621" s="4" t="inlineStr">
        <is>
          <t>MD-0472</t>
        </is>
      </c>
      <c r="B1621" s="21" t="n">
        <v>46196</v>
      </c>
      <c r="C1621" s="4" t="inlineStr">
        <is>
          <t>Latina</t>
        </is>
      </c>
      <c r="D1621" s="4" t="n">
        <v>44</v>
      </c>
      <c r="E1621" s="4" t="inlineStr">
        <is>
          <t>reformado</t>
        </is>
      </c>
      <c r="F1621" s="22" t="n">
        <v>169000</v>
      </c>
      <c r="G1621" s="23" t="n">
        <v>3840.91</v>
      </c>
      <c r="H1621" s="22" t="n">
        <v>143090</v>
      </c>
      <c r="I1621" s="23" t="n">
        <v>3252.05</v>
      </c>
      <c r="J1621" s="18" t="n">
        <v>0.1811</v>
      </c>
      <c r="K1621" s="24" t="n">
        <v>4.7</v>
      </c>
      <c r="L1621" s="4" t="n">
        <v>23</v>
      </c>
      <c r="M1621" s="4" t="inlineStr">
        <is>
          <t>alta</t>
        </is>
      </c>
      <c r="N1621" s="4" t="inlineStr">
        <is>
          <t>por encima de comparables</t>
        </is>
      </c>
      <c r="O1621" s="4" t="n"/>
    </row>
    <row r="1622">
      <c r="A1622" s="4" t="inlineStr">
        <is>
          <t>MD-0772</t>
        </is>
      </c>
      <c r="B1622" s="21" t="n">
        <v>46196</v>
      </c>
      <c r="C1622" s="4" t="inlineStr">
        <is>
          <t>Barajas</t>
        </is>
      </c>
      <c r="D1622" s="4" t="n">
        <v>83</v>
      </c>
      <c r="E1622" s="4" t="inlineStr">
        <is>
          <t>reformado</t>
        </is>
      </c>
      <c r="F1622" s="22" t="n">
        <v>471000</v>
      </c>
      <c r="G1622" s="23" t="n">
        <v>5674.7</v>
      </c>
      <c r="H1622" s="22" t="n">
        <v>393043</v>
      </c>
      <c r="I1622" s="23" t="n">
        <v>4735.46</v>
      </c>
      <c r="J1622" s="18" t="n">
        <v>0.1983</v>
      </c>
      <c r="K1622" s="24" t="n">
        <v>0.4</v>
      </c>
      <c r="L1622" s="4" t="n">
        <v>14</v>
      </c>
      <c r="M1622" s="4" t="inlineStr">
        <is>
          <t>media</t>
        </is>
      </c>
      <c r="N1622" s="4" t="inlineStr">
        <is>
          <t>por encima de comparables</t>
        </is>
      </c>
      <c r="O1622" s="4" t="n"/>
    </row>
    <row r="1623">
      <c r="A1623" s="4" t="inlineStr">
        <is>
          <t>MD-1227</t>
        </is>
      </c>
      <c r="B1623" s="21" t="n">
        <v>46196</v>
      </c>
      <c r="C1623" s="4" t="inlineStr">
        <is>
          <t>Hortaleza</t>
        </is>
      </c>
      <c r="D1623" s="4" t="n">
        <v>157</v>
      </c>
      <c r="E1623" s="4" t="inlineStr">
        <is>
          <t>buen estado</t>
        </is>
      </c>
      <c r="F1623" s="22" t="n">
        <v>752000</v>
      </c>
      <c r="G1623" s="23" t="n">
        <v>4789.81</v>
      </c>
      <c r="H1623" s="22" t="n">
        <v>808849</v>
      </c>
      <c r="I1623" s="23" t="n">
        <v>5151.91</v>
      </c>
      <c r="J1623" s="18" t="n">
        <v>-0.0703</v>
      </c>
      <c r="K1623" s="24" t="n">
        <v>67.59999999999999</v>
      </c>
      <c r="L1623" s="4" t="n">
        <v>38</v>
      </c>
      <c r="M1623" s="4" t="inlineStr">
        <is>
          <t>media</t>
        </is>
      </c>
      <c r="N1623" s="4" t="inlineStr">
        <is>
          <t>en linea con comparables</t>
        </is>
      </c>
      <c r="O1623" s="4" t="n"/>
    </row>
    <row r="1624">
      <c r="A1624" s="4" t="inlineStr">
        <is>
          <t>MD-0407</t>
        </is>
      </c>
      <c r="B1624" s="21" t="n">
        <v>46196</v>
      </c>
      <c r="C1624" s="4" t="inlineStr">
        <is>
          <t>Latina</t>
        </is>
      </c>
      <c r="D1624" s="4" t="n">
        <v>57</v>
      </c>
      <c r="E1624" s="4" t="inlineStr">
        <is>
          <t>obra nueva</t>
        </is>
      </c>
      <c r="F1624" s="22" t="n">
        <v>200000</v>
      </c>
      <c r="G1624" s="23" t="n">
        <v>3508.77</v>
      </c>
      <c r="H1624" s="22" t="n">
        <v>228826</v>
      </c>
      <c r="I1624" s="23" t="n">
        <v>4014.49</v>
      </c>
      <c r="J1624" s="18" t="n">
        <v>-0.126</v>
      </c>
      <c r="K1624" s="24" t="n">
        <v>81.5</v>
      </c>
      <c r="L1624" s="4" t="n">
        <v>40</v>
      </c>
      <c r="M1624" s="4" t="inlineStr">
        <is>
          <t>media</t>
        </is>
      </c>
      <c r="N1624" s="4" t="inlineStr">
        <is>
          <t>por debajo de comparables</t>
        </is>
      </c>
      <c r="O1624" s="4" t="n"/>
    </row>
    <row r="1625">
      <c r="A1625" s="4" t="inlineStr">
        <is>
          <t>MD-1919</t>
        </is>
      </c>
      <c r="B1625" s="21" t="n">
        <v>46196</v>
      </c>
      <c r="C1625" s="4" t="inlineStr">
        <is>
          <t>Tetuan</t>
        </is>
      </c>
      <c r="D1625" s="4" t="n">
        <v>80</v>
      </c>
      <c r="E1625" s="4" t="inlineStr">
        <is>
          <t>a reformar</t>
        </is>
      </c>
      <c r="F1625" s="22" t="n">
        <v>238000</v>
      </c>
      <c r="G1625" s="23" t="n">
        <v>2975</v>
      </c>
      <c r="H1625" s="22" t="n">
        <v>293293</v>
      </c>
      <c r="I1625" s="23" t="n">
        <v>3666.16</v>
      </c>
      <c r="J1625" s="18" t="n">
        <v>-0.1885</v>
      </c>
      <c r="K1625" s="24" t="n">
        <v>97.09999999999999</v>
      </c>
      <c r="L1625" s="4" t="n">
        <v>34</v>
      </c>
      <c r="M1625" s="4" t="inlineStr">
        <is>
          <t>media</t>
        </is>
      </c>
      <c r="N1625" s="4" t="inlineStr">
        <is>
          <t>por debajo de comparables</t>
        </is>
      </c>
      <c r="O1625" s="4" t="n"/>
    </row>
    <row r="1626">
      <c r="A1626" s="4" t="inlineStr">
        <is>
          <t>MD-1819</t>
        </is>
      </c>
      <c r="B1626" s="21" t="n">
        <v>46197</v>
      </c>
      <c r="C1626" s="4" t="inlineStr">
        <is>
          <t>Hortaleza</t>
        </is>
      </c>
      <c r="D1626" s="4" t="n">
        <v>96</v>
      </c>
      <c r="E1626" s="4" t="inlineStr">
        <is>
          <t>a reformar</t>
        </is>
      </c>
      <c r="F1626" s="22" t="n">
        <v>438000</v>
      </c>
      <c r="G1626" s="23" t="n">
        <v>4562.5</v>
      </c>
      <c r="H1626" s="22" t="n">
        <v>441785</v>
      </c>
      <c r="I1626" s="23" t="n">
        <v>4601.93</v>
      </c>
      <c r="J1626" s="18" t="n">
        <v>-0.0086</v>
      </c>
      <c r="K1626" s="24" t="n">
        <v>52.1</v>
      </c>
      <c r="L1626" s="4" t="n">
        <v>27</v>
      </c>
      <c r="M1626" s="4" t="inlineStr">
        <is>
          <t>alta</t>
        </is>
      </c>
      <c r="N1626" s="4" t="inlineStr">
        <is>
          <t>en linea con comparables</t>
        </is>
      </c>
      <c r="O1626" s="4" t="n"/>
    </row>
    <row r="1627">
      <c r="A1627" s="4" t="inlineStr">
        <is>
          <t>MD-1779</t>
        </is>
      </c>
      <c r="B1627" s="21" t="n">
        <v>46197</v>
      </c>
      <c r="C1627" s="4" t="inlineStr">
        <is>
          <t>Barajas</t>
        </is>
      </c>
      <c r="D1627" s="4" t="n">
        <v>96</v>
      </c>
      <c r="E1627" s="4" t="inlineStr">
        <is>
          <t>buen estado</t>
        </is>
      </c>
      <c r="F1627" s="22" t="n">
        <v>447000</v>
      </c>
      <c r="G1627" s="23" t="n">
        <v>4656.25</v>
      </c>
      <c r="H1627" s="22" t="n">
        <v>411750</v>
      </c>
      <c r="I1627" s="23" t="n">
        <v>4289.06</v>
      </c>
      <c r="J1627" s="18" t="n">
        <v>0.0856</v>
      </c>
      <c r="K1627" s="24" t="n">
        <v>28.6</v>
      </c>
      <c r="L1627" s="4" t="n">
        <v>10</v>
      </c>
      <c r="M1627" s="4" t="inlineStr">
        <is>
          <t>media</t>
        </is>
      </c>
      <c r="N1627" s="4" t="inlineStr">
        <is>
          <t>en linea con comparables</t>
        </is>
      </c>
      <c r="O1627" s="4" t="n"/>
    </row>
    <row r="1628">
      <c r="A1628" s="4" t="inlineStr">
        <is>
          <t>MD-1102</t>
        </is>
      </c>
      <c r="B1628" s="21" t="n">
        <v>46197</v>
      </c>
      <c r="C1628" s="4" t="inlineStr">
        <is>
          <t>Salamanca</t>
        </is>
      </c>
      <c r="D1628" s="4" t="n">
        <v>83</v>
      </c>
      <c r="E1628" s="4" t="inlineStr">
        <is>
          <t>buen estado</t>
        </is>
      </c>
      <c r="F1628" s="22" t="n">
        <v>663000</v>
      </c>
      <c r="G1628" s="23" t="n">
        <v>7987.95</v>
      </c>
      <c r="H1628" s="22" t="n">
        <v>766633</v>
      </c>
      <c r="I1628" s="23" t="n">
        <v>9236.549999999999</v>
      </c>
      <c r="J1628" s="18" t="n">
        <v>-0.1352</v>
      </c>
      <c r="K1628" s="24" t="n">
        <v>83.8</v>
      </c>
      <c r="L1628" s="4" t="n">
        <v>16</v>
      </c>
      <c r="M1628" s="4" t="inlineStr">
        <is>
          <t>alta</t>
        </is>
      </c>
      <c r="N1628" s="4" t="inlineStr">
        <is>
          <t>por debajo de comparables</t>
        </is>
      </c>
      <c r="O1628" s="4" t="n"/>
    </row>
    <row r="1629">
      <c r="A1629" s="4" t="inlineStr">
        <is>
          <t>MD-1034</t>
        </is>
      </c>
      <c r="B1629" s="21" t="n">
        <v>46197</v>
      </c>
      <c r="C1629" s="4" t="inlineStr">
        <is>
          <t>Chamberi</t>
        </is>
      </c>
      <c r="D1629" s="4" t="n">
        <v>36</v>
      </c>
      <c r="E1629" s="4" t="inlineStr">
        <is>
          <t>reformado</t>
        </is>
      </c>
      <c r="F1629" s="22" t="n">
        <v>247000</v>
      </c>
      <c r="G1629" s="23" t="n">
        <v>6861.11</v>
      </c>
      <c r="H1629" s="22" t="n">
        <v>284421</v>
      </c>
      <c r="I1629" s="23" t="n">
        <v>7900.59</v>
      </c>
      <c r="J1629" s="18" t="n">
        <v>-0.1316</v>
      </c>
      <c r="K1629" s="24" t="n">
        <v>82.90000000000001</v>
      </c>
      <c r="L1629" s="4" t="n">
        <v>9</v>
      </c>
      <c r="M1629" s="4" t="inlineStr">
        <is>
          <t>media</t>
        </is>
      </c>
      <c r="N1629" s="4" t="inlineStr">
        <is>
          <t>por debajo de comparables</t>
        </is>
      </c>
      <c r="O1629" s="4" t="n"/>
    </row>
    <row r="1630">
      <c r="A1630" s="4" t="inlineStr">
        <is>
          <t>MD-1211</t>
        </is>
      </c>
      <c r="B1630" s="21" t="n">
        <v>46197</v>
      </c>
      <c r="C1630" s="4" t="inlineStr">
        <is>
          <t>Arganzuela</t>
        </is>
      </c>
      <c r="D1630" s="4" t="n">
        <v>46</v>
      </c>
      <c r="E1630" s="4" t="inlineStr">
        <is>
          <t>buen estado</t>
        </is>
      </c>
      <c r="F1630" s="22" t="n">
        <v>342000</v>
      </c>
      <c r="G1630" s="23" t="n">
        <v>7434.78</v>
      </c>
      <c r="H1630" s="22" t="n">
        <v>246543</v>
      </c>
      <c r="I1630" s="23" t="n">
        <v>5359.62</v>
      </c>
      <c r="J1630" s="18" t="n">
        <v>0.3872</v>
      </c>
      <c r="K1630" s="24" t="n">
        <v>0</v>
      </c>
      <c r="L1630" s="4" t="n">
        <v>10</v>
      </c>
      <c r="M1630" s="4" t="inlineStr">
        <is>
          <t>media</t>
        </is>
      </c>
      <c r="N1630" s="4" t="inlineStr">
        <is>
          <t>por encima de comparables</t>
        </is>
      </c>
      <c r="O1630" s="4" t="n"/>
    </row>
    <row r="1631">
      <c r="A1631" s="4" t="inlineStr">
        <is>
          <t>MD-1712</t>
        </is>
      </c>
      <c r="B1631" s="21" t="n">
        <v>46198</v>
      </c>
      <c r="C1631" s="4" t="inlineStr">
        <is>
          <t>Vicalvaro</t>
        </is>
      </c>
      <c r="D1631" s="4" t="n">
        <v>80</v>
      </c>
      <c r="E1631" s="4" t="inlineStr">
        <is>
          <t>buen estado</t>
        </is>
      </c>
      <c r="F1631" s="22" t="n">
        <v>295000</v>
      </c>
      <c r="G1631" s="23" t="n">
        <v>3687.5</v>
      </c>
      <c r="H1631" s="22" t="n">
        <v>289816</v>
      </c>
      <c r="I1631" s="23" t="n">
        <v>3622.7</v>
      </c>
      <c r="J1631" s="18" t="n">
        <v>0.0179</v>
      </c>
      <c r="K1631" s="24" t="n">
        <v>45.5</v>
      </c>
      <c r="L1631" s="4" t="n">
        <v>27</v>
      </c>
      <c r="M1631" s="4" t="inlineStr">
        <is>
          <t>alta</t>
        </is>
      </c>
      <c r="N1631" s="4" t="inlineStr">
        <is>
          <t>en linea con comparables</t>
        </is>
      </c>
      <c r="O1631" s="4" t="n"/>
    </row>
    <row r="1632">
      <c r="A1632" s="4" t="inlineStr">
        <is>
          <t>MD-0705</t>
        </is>
      </c>
      <c r="B1632" s="21" t="n">
        <v>46198</v>
      </c>
      <c r="C1632" s="4" t="inlineStr">
        <is>
          <t>Latina</t>
        </is>
      </c>
      <c r="D1632" s="4" t="n">
        <v>31</v>
      </c>
      <c r="E1632" s="4" t="inlineStr">
        <is>
          <t>reformado</t>
        </is>
      </c>
      <c r="F1632" s="22" t="n">
        <v>145000</v>
      </c>
      <c r="G1632" s="23" t="n">
        <v>4677.42</v>
      </c>
      <c r="H1632" s="22" t="n"/>
      <c r="I1632" s="23" t="n"/>
      <c r="J1632" s="18" t="n"/>
      <c r="K1632" s="24" t="n"/>
      <c r="L1632" s="4" t="n">
        <v>4</v>
      </c>
      <c r="M1632" s="4" t="inlineStr">
        <is>
          <t>sin muestra</t>
        </is>
      </c>
      <c r="N1632" s="4" t="inlineStr">
        <is>
          <t>no valorable</t>
        </is>
      </c>
      <c r="O1632" s="4" t="inlineStr">
        <is>
          <t>segmento con pocas operaciones comparables</t>
        </is>
      </c>
    </row>
    <row r="1633">
      <c r="A1633" s="4" t="inlineStr">
        <is>
          <t>MD-0793</t>
        </is>
      </c>
      <c r="B1633" s="21" t="n">
        <v>46198</v>
      </c>
      <c r="C1633" s="4" t="inlineStr">
        <is>
          <t>San Blas-Canillejas</t>
        </is>
      </c>
      <c r="D1633" s="4" t="n">
        <v>80</v>
      </c>
      <c r="E1633" s="4" t="inlineStr">
        <is>
          <t>buen estado</t>
        </is>
      </c>
      <c r="F1633" s="22" t="n">
        <v>250000</v>
      </c>
      <c r="G1633" s="23" t="n">
        <v>3125</v>
      </c>
      <c r="H1633" s="22" t="n">
        <v>296652</v>
      </c>
      <c r="I1633" s="23" t="n">
        <v>3708.15</v>
      </c>
      <c r="J1633" s="18" t="n">
        <v>-0.1573</v>
      </c>
      <c r="K1633" s="24" t="n">
        <v>89.3</v>
      </c>
      <c r="L1633" s="4" t="n">
        <v>24</v>
      </c>
      <c r="M1633" s="4" t="inlineStr">
        <is>
          <t>alta</t>
        </is>
      </c>
      <c r="N1633" s="4" t="inlineStr">
        <is>
          <t>por debajo de comparables</t>
        </is>
      </c>
      <c r="O1633" s="4" t="n"/>
    </row>
    <row r="1634">
      <c r="A1634" s="4" t="inlineStr">
        <is>
          <t>MD-0931</t>
        </is>
      </c>
      <c r="B1634" s="21" t="n">
        <v>46198</v>
      </c>
      <c r="C1634" s="4" t="inlineStr">
        <is>
          <t>Tetuan</t>
        </is>
      </c>
      <c r="D1634" s="4" t="n">
        <v>94</v>
      </c>
      <c r="E1634" s="4" t="inlineStr">
        <is>
          <t>buen estado</t>
        </is>
      </c>
      <c r="F1634" s="22" t="n">
        <v>439000</v>
      </c>
      <c r="G1634" s="23" t="n">
        <v>4670.21</v>
      </c>
      <c r="H1634" s="22" t="n">
        <v>453594</v>
      </c>
      <c r="I1634" s="23" t="n">
        <v>4825.47</v>
      </c>
      <c r="J1634" s="18" t="n">
        <v>-0.0322</v>
      </c>
      <c r="K1634" s="24" t="n">
        <v>58</v>
      </c>
      <c r="L1634" s="4" t="n">
        <v>23</v>
      </c>
      <c r="M1634" s="4" t="inlineStr">
        <is>
          <t>media</t>
        </is>
      </c>
      <c r="N1634" s="4" t="inlineStr">
        <is>
          <t>en linea con comparables</t>
        </is>
      </c>
      <c r="O1634" s="4" t="n"/>
    </row>
    <row r="1635">
      <c r="A1635" s="4" t="inlineStr">
        <is>
          <t>MD-1148</t>
        </is>
      </c>
      <c r="B1635" s="21" t="n">
        <v>46198</v>
      </c>
      <c r="C1635" s="4" t="inlineStr">
        <is>
          <t>Puente de Vallecas</t>
        </is>
      </c>
      <c r="D1635" s="4" t="n">
        <v>61</v>
      </c>
      <c r="E1635" s="4" t="inlineStr">
        <is>
          <t>buen estado</t>
        </is>
      </c>
      <c r="F1635" s="22" t="n">
        <v>200000</v>
      </c>
      <c r="G1635" s="23" t="n">
        <v>3278.69</v>
      </c>
      <c r="H1635" s="22" t="n">
        <v>176222</v>
      </c>
      <c r="I1635" s="23" t="n">
        <v>2888.89</v>
      </c>
      <c r="J1635" s="18" t="n">
        <v>0.1349</v>
      </c>
      <c r="K1635" s="24" t="n">
        <v>16.3</v>
      </c>
      <c r="L1635" s="4" t="n">
        <v>41</v>
      </c>
      <c r="M1635" s="4" t="inlineStr">
        <is>
          <t>media</t>
        </is>
      </c>
      <c r="N1635" s="4" t="inlineStr">
        <is>
          <t>por encima de comparables</t>
        </is>
      </c>
      <c r="O1635" s="4" t="n"/>
    </row>
    <row r="1636">
      <c r="A1636" s="4" t="inlineStr">
        <is>
          <t>MD-1516</t>
        </is>
      </c>
      <c r="B1636" s="21" t="n">
        <v>46198</v>
      </c>
      <c r="C1636" s="4" t="inlineStr">
        <is>
          <t>Hortaleza</t>
        </is>
      </c>
      <c r="D1636" s="4" t="n">
        <v>70</v>
      </c>
      <c r="E1636" s="4" t="inlineStr">
        <is>
          <t>a reformar</t>
        </is>
      </c>
      <c r="F1636" s="22" t="n">
        <v>336000</v>
      </c>
      <c r="G1636" s="23" t="n">
        <v>4800</v>
      </c>
      <c r="H1636" s="22" t="n">
        <v>332329</v>
      </c>
      <c r="I1636" s="23" t="n">
        <v>4747.55</v>
      </c>
      <c r="J1636" s="18" t="n">
        <v>0.011</v>
      </c>
      <c r="K1636" s="24" t="n">
        <v>47.2</v>
      </c>
      <c r="L1636" s="4" t="n">
        <v>29</v>
      </c>
      <c r="M1636" s="4" t="inlineStr">
        <is>
          <t>media</t>
        </is>
      </c>
      <c r="N1636" s="4" t="inlineStr">
        <is>
          <t>en linea con comparables</t>
        </is>
      </c>
      <c r="O1636" s="4" t="n"/>
    </row>
    <row r="1637">
      <c r="A1637" s="4" t="inlineStr">
        <is>
          <t>MD-0303</t>
        </is>
      </c>
      <c r="B1637" s="21" t="n">
        <v>46198</v>
      </c>
      <c r="C1637" s="4" t="inlineStr">
        <is>
          <t>Salamanca</t>
        </is>
      </c>
      <c r="D1637" s="4" t="n">
        <v>59</v>
      </c>
      <c r="E1637" s="4" t="inlineStr">
        <is>
          <t>buen estado</t>
        </is>
      </c>
      <c r="F1637" s="22" t="n">
        <v>518000</v>
      </c>
      <c r="G1637" s="23" t="n">
        <v>8779.66</v>
      </c>
      <c r="H1637" s="22" t="n">
        <v>531000</v>
      </c>
      <c r="I1637" s="23" t="n">
        <v>9000</v>
      </c>
      <c r="J1637" s="18" t="n">
        <v>-0.0245</v>
      </c>
      <c r="K1637" s="24" t="n">
        <v>56.1</v>
      </c>
      <c r="L1637" s="4" t="n">
        <v>17</v>
      </c>
      <c r="M1637" s="4" t="inlineStr">
        <is>
          <t>media</t>
        </is>
      </c>
      <c r="N1637" s="4" t="inlineStr">
        <is>
          <t>en linea con comparables</t>
        </is>
      </c>
      <c r="O1637" s="4" t="n"/>
    </row>
    <row r="1638">
      <c r="A1638" s="4" t="inlineStr">
        <is>
          <t>MD-0564</t>
        </is>
      </c>
      <c r="B1638" s="21" t="n">
        <v>46198</v>
      </c>
      <c r="C1638" s="4" t="inlineStr">
        <is>
          <t>Fuencarral-El Pardo</t>
        </is>
      </c>
      <c r="D1638" s="4" t="n">
        <v>47</v>
      </c>
      <c r="E1638" s="4" t="inlineStr">
        <is>
          <t>reformado</t>
        </is>
      </c>
      <c r="F1638" s="22" t="n">
        <v>332000</v>
      </c>
      <c r="G1638" s="23" t="n">
        <v>7063.83</v>
      </c>
      <c r="H1638" s="22" t="n">
        <v>295533</v>
      </c>
      <c r="I1638" s="23" t="n">
        <v>6287.94</v>
      </c>
      <c r="J1638" s="18" t="n">
        <v>0.1234</v>
      </c>
      <c r="K1638" s="24" t="n">
        <v>19.2</v>
      </c>
      <c r="L1638" s="4" t="n">
        <v>14</v>
      </c>
      <c r="M1638" s="4" t="inlineStr">
        <is>
          <t>media</t>
        </is>
      </c>
      <c r="N1638" s="4" t="inlineStr">
        <is>
          <t>por encima de comparables</t>
        </is>
      </c>
      <c r="O1638" s="4" t="n"/>
    </row>
    <row r="1639">
      <c r="A1639" s="4" t="inlineStr">
        <is>
          <t>MD-1781</t>
        </is>
      </c>
      <c r="B1639" s="21" t="n">
        <v>46199</v>
      </c>
      <c r="C1639" s="4" t="inlineStr">
        <is>
          <t>Chamartin</t>
        </is>
      </c>
      <c r="D1639" s="4" t="n">
        <v>95</v>
      </c>
      <c r="E1639" s="4" t="inlineStr">
        <is>
          <t>buen estado</t>
        </is>
      </c>
      <c r="F1639" s="22" t="n">
        <v>748000</v>
      </c>
      <c r="G1639" s="23" t="n">
        <v>7873.68</v>
      </c>
      <c r="H1639" s="22" t="n">
        <v>765750</v>
      </c>
      <c r="I1639" s="23" t="n">
        <v>8060.53</v>
      </c>
      <c r="J1639" s="18" t="n">
        <v>-0.0232</v>
      </c>
      <c r="K1639" s="24" t="n">
        <v>55.8</v>
      </c>
      <c r="L1639" s="4" t="n">
        <v>23</v>
      </c>
      <c r="M1639" s="4" t="inlineStr">
        <is>
          <t>alta</t>
        </is>
      </c>
      <c r="N1639" s="4" t="inlineStr">
        <is>
          <t>en linea con comparables</t>
        </is>
      </c>
      <c r="O1639" s="4" t="n"/>
    </row>
    <row r="1640">
      <c r="A1640" s="4" t="inlineStr">
        <is>
          <t>MD-1159</t>
        </is>
      </c>
      <c r="B1640" s="21" t="n">
        <v>46199</v>
      </c>
      <c r="C1640" s="4" t="inlineStr">
        <is>
          <t>Centro</t>
        </is>
      </c>
      <c r="D1640" s="4" t="n">
        <v>121</v>
      </c>
      <c r="E1640" s="4" t="inlineStr">
        <is>
          <t>reformado</t>
        </is>
      </c>
      <c r="F1640" s="22" t="n">
        <v>847000</v>
      </c>
      <c r="G1640" s="23" t="n">
        <v>7000</v>
      </c>
      <c r="H1640" s="22" t="n">
        <v>997264</v>
      </c>
      <c r="I1640" s="23" t="n">
        <v>8241.85</v>
      </c>
      <c r="J1640" s="18" t="n">
        <v>-0.1507</v>
      </c>
      <c r="K1640" s="24" t="n">
        <v>87.7</v>
      </c>
      <c r="L1640" s="4" t="n">
        <v>20</v>
      </c>
      <c r="M1640" s="4" t="inlineStr">
        <is>
          <t>alta</t>
        </is>
      </c>
      <c r="N1640" s="4" t="inlineStr">
        <is>
          <t>por debajo de comparables</t>
        </is>
      </c>
      <c r="O1640" s="4" t="n"/>
    </row>
    <row r="1641">
      <c r="A1641" s="4" t="inlineStr">
        <is>
          <t>MD-0306</t>
        </is>
      </c>
      <c r="B1641" s="21" t="n">
        <v>46200</v>
      </c>
      <c r="C1641" s="4" t="inlineStr">
        <is>
          <t>Barajas</t>
        </is>
      </c>
      <c r="D1641" s="4" t="n">
        <v>40</v>
      </c>
      <c r="E1641" s="4" t="inlineStr">
        <is>
          <t>reformado</t>
        </is>
      </c>
      <c r="F1641" s="22" t="n">
        <v>189000</v>
      </c>
      <c r="G1641" s="23" t="n">
        <v>4725</v>
      </c>
      <c r="H1641" s="22" t="n"/>
      <c r="I1641" s="23" t="n"/>
      <c r="J1641" s="18" t="n"/>
      <c r="K1641" s="24" t="n"/>
      <c r="L1641" s="4" t="n">
        <v>0</v>
      </c>
      <c r="M1641" s="4" t="inlineStr">
        <is>
          <t>sin muestra</t>
        </is>
      </c>
      <c r="N1641" s="4" t="inlineStr">
        <is>
          <t>no valorable</t>
        </is>
      </c>
      <c r="O1641" s="4" t="inlineStr">
        <is>
          <t>segmento con pocas operaciones comparables</t>
        </is>
      </c>
    </row>
    <row r="1642">
      <c r="A1642" s="4" t="inlineStr">
        <is>
          <t>MD-1763</t>
        </is>
      </c>
      <c r="B1642" s="21" t="n">
        <v>46200</v>
      </c>
      <c r="C1642" s="4" t="inlineStr">
        <is>
          <t>Moncloa-Aravaca</t>
        </is>
      </c>
      <c r="D1642" s="4" t="n">
        <v>42</v>
      </c>
      <c r="E1642" s="4" t="inlineStr">
        <is>
          <t>buen estado</t>
        </is>
      </c>
      <c r="F1642" s="22" t="n">
        <v>240000</v>
      </c>
      <c r="G1642" s="23" t="n">
        <v>5714.29</v>
      </c>
      <c r="H1642" s="22" t="n"/>
      <c r="I1642" s="23" t="n"/>
      <c r="J1642" s="18" t="n"/>
      <c r="K1642" s="24" t="n"/>
      <c r="L1642" s="4" t="n">
        <v>2</v>
      </c>
      <c r="M1642" s="4" t="inlineStr">
        <is>
          <t>sin muestra</t>
        </is>
      </c>
      <c r="N1642" s="4" t="inlineStr">
        <is>
          <t>no valorable</t>
        </is>
      </c>
      <c r="O1642" s="4" t="inlineStr">
        <is>
          <t>segmento con pocas operaciones comparables</t>
        </is>
      </c>
    </row>
    <row r="1643">
      <c r="A1643" s="4" t="inlineStr">
        <is>
          <t>MD-0736</t>
        </is>
      </c>
      <c r="B1643" s="21" t="n">
        <v>46200</v>
      </c>
      <c r="C1643" s="4" t="inlineStr">
        <is>
          <t>Arganzuela</t>
        </is>
      </c>
      <c r="D1643" s="4" t="n">
        <v>59</v>
      </c>
      <c r="E1643" s="4" t="inlineStr">
        <is>
          <t>buen estado</t>
        </is>
      </c>
      <c r="F1643" s="22" t="n">
        <v>428000</v>
      </c>
      <c r="G1643" s="23" t="n">
        <v>7254.24</v>
      </c>
      <c r="H1643" s="22" t="n">
        <v>334873</v>
      </c>
      <c r="I1643" s="23" t="n">
        <v>5675.81</v>
      </c>
      <c r="J1643" s="18" t="n">
        <v>0.2781</v>
      </c>
      <c r="K1643" s="24" t="n">
        <v>0</v>
      </c>
      <c r="L1643" s="4" t="n">
        <v>21</v>
      </c>
      <c r="M1643" s="4" t="inlineStr">
        <is>
          <t>alta</t>
        </is>
      </c>
      <c r="N1643" s="4" t="inlineStr">
        <is>
          <t>por encima de comparables</t>
        </is>
      </c>
      <c r="O1643" s="4" t="n"/>
    </row>
    <row r="1644">
      <c r="A1644" s="4" t="inlineStr">
        <is>
          <t>MD-0671</t>
        </is>
      </c>
      <c r="B1644" s="21" t="n">
        <v>46200</v>
      </c>
      <c r="C1644" s="4" t="inlineStr">
        <is>
          <t>Centro</t>
        </is>
      </c>
      <c r="D1644" s="4" t="n">
        <v>120</v>
      </c>
      <c r="E1644" s="4" t="inlineStr">
        <is>
          <t>a reformar</t>
        </is>
      </c>
      <c r="F1644" s="22" t="n">
        <v>689000</v>
      </c>
      <c r="G1644" s="23" t="n">
        <v>5741.67</v>
      </c>
      <c r="H1644" s="22" t="n">
        <v>737254</v>
      </c>
      <c r="I1644" s="23" t="n">
        <v>6143.78</v>
      </c>
      <c r="J1644" s="18" t="n">
        <v>-0.0655</v>
      </c>
      <c r="K1644" s="24" t="n">
        <v>66.40000000000001</v>
      </c>
      <c r="L1644" s="4" t="n">
        <v>21</v>
      </c>
      <c r="M1644" s="4" t="inlineStr">
        <is>
          <t>alta</t>
        </is>
      </c>
      <c r="N1644" s="4" t="inlineStr">
        <is>
          <t>en linea con comparables</t>
        </is>
      </c>
      <c r="O1644" s="4" t="n"/>
    </row>
    <row r="1645">
      <c r="A1645" s="4" t="inlineStr">
        <is>
          <t>MD-1756</t>
        </is>
      </c>
      <c r="B1645" s="21" t="n">
        <v>46200</v>
      </c>
      <c r="C1645" s="4" t="inlineStr">
        <is>
          <t>Retiro</t>
        </is>
      </c>
      <c r="D1645" s="4" t="n">
        <v>48</v>
      </c>
      <c r="E1645" s="4" t="inlineStr">
        <is>
          <t>buen estado</t>
        </is>
      </c>
      <c r="F1645" s="22" t="n">
        <v>313000</v>
      </c>
      <c r="G1645" s="23" t="n">
        <v>6520.83</v>
      </c>
      <c r="H1645" s="22" t="n">
        <v>343887</v>
      </c>
      <c r="I1645" s="23" t="n">
        <v>7164.31</v>
      </c>
      <c r="J1645" s="18" t="n">
        <v>-0.0898</v>
      </c>
      <c r="K1645" s="24" t="n">
        <v>72.5</v>
      </c>
      <c r="L1645" s="4" t="n">
        <v>11</v>
      </c>
      <c r="M1645" s="4" t="inlineStr">
        <is>
          <t>media</t>
        </is>
      </c>
      <c r="N1645" s="4" t="inlineStr">
        <is>
          <t>en linea con comparables</t>
        </is>
      </c>
      <c r="O1645" s="4" t="n"/>
    </row>
    <row r="1646">
      <c r="A1646" s="4" t="inlineStr">
        <is>
          <t>MD-1722</t>
        </is>
      </c>
      <c r="B1646" s="21" t="n">
        <v>46200</v>
      </c>
      <c r="C1646" s="4" t="inlineStr">
        <is>
          <t>Fuencarral-El Pardo</t>
        </is>
      </c>
      <c r="D1646" s="4" t="n">
        <v>48</v>
      </c>
      <c r="E1646" s="4" t="inlineStr">
        <is>
          <t>buen estado</t>
        </is>
      </c>
      <c r="F1646" s="22" t="n">
        <v>240000</v>
      </c>
      <c r="G1646" s="23" t="n">
        <v>5000</v>
      </c>
      <c r="H1646" s="22" t="n">
        <v>272814</v>
      </c>
      <c r="I1646" s="23" t="n">
        <v>5683.64</v>
      </c>
      <c r="J1646" s="18" t="n">
        <v>-0.1203</v>
      </c>
      <c r="K1646" s="24" t="n">
        <v>80.09999999999999</v>
      </c>
      <c r="L1646" s="4" t="n">
        <v>18</v>
      </c>
      <c r="M1646" s="4" t="inlineStr">
        <is>
          <t>alta</t>
        </is>
      </c>
      <c r="N1646" s="4" t="inlineStr">
        <is>
          <t>por debajo de comparables</t>
        </is>
      </c>
      <c r="O1646" s="4" t="n"/>
    </row>
    <row r="1647">
      <c r="A1647" s="4" t="inlineStr">
        <is>
          <t>MD-0773</t>
        </is>
      </c>
      <c r="B1647" s="21" t="n">
        <v>46200</v>
      </c>
      <c r="C1647" s="4" t="inlineStr">
        <is>
          <t>Centro</t>
        </is>
      </c>
      <c r="D1647" s="4" t="n">
        <v>29</v>
      </c>
      <c r="E1647" s="4" t="inlineStr">
        <is>
          <t>obra nueva</t>
        </is>
      </c>
      <c r="F1647" s="22" t="n">
        <v>242000</v>
      </c>
      <c r="G1647" s="23" t="n">
        <v>8344.83</v>
      </c>
      <c r="H1647" s="22" t="n">
        <v>229890</v>
      </c>
      <c r="I1647" s="23" t="n">
        <v>7927.24</v>
      </c>
      <c r="J1647" s="18" t="n">
        <v>0.0527</v>
      </c>
      <c r="K1647" s="24" t="n">
        <v>36.8</v>
      </c>
      <c r="L1647" s="4" t="n">
        <v>13</v>
      </c>
      <c r="M1647" s="4" t="inlineStr">
        <is>
          <t>media</t>
        </is>
      </c>
      <c r="N1647" s="4" t="inlineStr">
        <is>
          <t>en linea con comparables</t>
        </is>
      </c>
      <c r="O1647" s="4" t="n"/>
    </row>
    <row r="1648">
      <c r="A1648" s="4" t="inlineStr">
        <is>
          <t>MD-1202</t>
        </is>
      </c>
      <c r="B1648" s="21" t="n">
        <v>46200</v>
      </c>
      <c r="C1648" s="4" t="inlineStr">
        <is>
          <t>Salamanca</t>
        </is>
      </c>
      <c r="D1648" s="4" t="n">
        <v>55</v>
      </c>
      <c r="E1648" s="4" t="inlineStr">
        <is>
          <t>reformado</t>
        </is>
      </c>
      <c r="F1648" s="22" t="n">
        <v>636000</v>
      </c>
      <c r="G1648" s="23" t="n">
        <v>11563.64</v>
      </c>
      <c r="H1648" s="22" t="n">
        <v>572077</v>
      </c>
      <c r="I1648" s="23" t="n">
        <v>10401.41</v>
      </c>
      <c r="J1648" s="18" t="n">
        <v>0.1117</v>
      </c>
      <c r="K1648" s="24" t="n">
        <v>22.1</v>
      </c>
      <c r="L1648" s="4" t="n">
        <v>17</v>
      </c>
      <c r="M1648" s="4" t="inlineStr">
        <is>
          <t>alta</t>
        </is>
      </c>
      <c r="N1648" s="4" t="inlineStr">
        <is>
          <t>por encima de comparables</t>
        </is>
      </c>
      <c r="O1648" s="4" t="n"/>
    </row>
    <row r="1649">
      <c r="A1649" s="4" t="inlineStr">
        <is>
          <t>MD-0547</t>
        </is>
      </c>
      <c r="B1649" s="21" t="n">
        <v>46201</v>
      </c>
      <c r="C1649" s="4" t="inlineStr">
        <is>
          <t>San Blas-Canillejas</t>
        </is>
      </c>
      <c r="D1649" s="4" t="n">
        <v>29</v>
      </c>
      <c r="E1649" s="4" t="inlineStr">
        <is>
          <t>buen estado</t>
        </is>
      </c>
      <c r="F1649" s="22" t="n">
        <v>120000</v>
      </c>
      <c r="G1649" s="23" t="n">
        <v>4137.93</v>
      </c>
      <c r="H1649" s="22" t="n"/>
      <c r="I1649" s="23" t="n"/>
      <c r="J1649" s="18" t="n"/>
      <c r="K1649" s="24" t="n"/>
      <c r="L1649" s="4" t="n">
        <v>0</v>
      </c>
      <c r="M1649" s="4" t="inlineStr">
        <is>
          <t>sin muestra</t>
        </is>
      </c>
      <c r="N1649" s="4" t="inlineStr">
        <is>
          <t>no valorable</t>
        </is>
      </c>
      <c r="O1649" s="4" t="inlineStr">
        <is>
          <t>segmento con pocas operaciones comparables</t>
        </is>
      </c>
    </row>
    <row r="1650">
      <c r="A1650" s="4" t="inlineStr">
        <is>
          <t>MD-1188</t>
        </is>
      </c>
      <c r="B1650" s="21" t="n">
        <v>46201</v>
      </c>
      <c r="C1650" s="4" t="inlineStr">
        <is>
          <t>Hortaleza</t>
        </is>
      </c>
      <c r="D1650" s="4" t="n">
        <v>127</v>
      </c>
      <c r="E1650" s="4" t="inlineStr">
        <is>
          <t>buen estado</t>
        </is>
      </c>
      <c r="F1650" s="22" t="n">
        <v>740000</v>
      </c>
      <c r="G1650" s="23" t="n">
        <v>5826.77</v>
      </c>
      <c r="H1650" s="22" t="n">
        <v>684740</v>
      </c>
      <c r="I1650" s="23" t="n">
        <v>5391.65</v>
      </c>
      <c r="J1650" s="18" t="n">
        <v>0.08069999999999999</v>
      </c>
      <c r="K1650" s="24" t="n">
        <v>29.8</v>
      </c>
      <c r="L1650" s="4" t="n">
        <v>30</v>
      </c>
      <c r="M1650" s="4" t="inlineStr">
        <is>
          <t>alta</t>
        </is>
      </c>
      <c r="N1650" s="4" t="inlineStr">
        <is>
          <t>en linea con comparables</t>
        </is>
      </c>
      <c r="O1650" s="4" t="n"/>
    </row>
    <row r="1651">
      <c r="A1651" s="4" t="inlineStr">
        <is>
          <t>MD-0846</t>
        </is>
      </c>
      <c r="B1651" s="21" t="n">
        <v>46201</v>
      </c>
      <c r="C1651" s="4" t="inlineStr">
        <is>
          <t>Puente de Vallecas</t>
        </is>
      </c>
      <c r="D1651" s="4" t="n">
        <v>44</v>
      </c>
      <c r="E1651" s="4" t="inlineStr">
        <is>
          <t>reformado</t>
        </is>
      </c>
      <c r="F1651" s="22" t="n">
        <v>148000</v>
      </c>
      <c r="G1651" s="23" t="n">
        <v>3363.64</v>
      </c>
      <c r="H1651" s="22" t="n">
        <v>137651</v>
      </c>
      <c r="I1651" s="23" t="n">
        <v>3128.43</v>
      </c>
      <c r="J1651" s="18" t="n">
        <v>0.0752</v>
      </c>
      <c r="K1651" s="24" t="n">
        <v>31.2</v>
      </c>
      <c r="L1651" s="4" t="n">
        <v>41</v>
      </c>
      <c r="M1651" s="4" t="inlineStr">
        <is>
          <t>alta</t>
        </is>
      </c>
      <c r="N1651" s="4" t="inlineStr">
        <is>
          <t>en linea con comparables</t>
        </is>
      </c>
      <c r="O1651" s="4" t="n"/>
    </row>
    <row r="1652">
      <c r="A1652" s="4" t="inlineStr">
        <is>
          <t>MD-0348</t>
        </is>
      </c>
      <c r="B1652" s="21" t="n">
        <v>46201</v>
      </c>
      <c r="C1652" s="4" t="inlineStr">
        <is>
          <t>Tetuan</t>
        </is>
      </c>
      <c r="D1652" s="4" t="n">
        <v>116</v>
      </c>
      <c r="E1652" s="4" t="inlineStr">
        <is>
          <t>reformado</t>
        </is>
      </c>
      <c r="F1652" s="22" t="n">
        <v>561000</v>
      </c>
      <c r="G1652" s="23" t="n">
        <v>4836.21</v>
      </c>
      <c r="H1652" s="22" t="n">
        <v>592096</v>
      </c>
      <c r="I1652" s="23" t="n">
        <v>5104.27</v>
      </c>
      <c r="J1652" s="18" t="n">
        <v>-0.0525</v>
      </c>
      <c r="K1652" s="24" t="n">
        <v>63.1</v>
      </c>
      <c r="L1652" s="4" t="n">
        <v>9</v>
      </c>
      <c r="M1652" s="4" t="inlineStr">
        <is>
          <t>media</t>
        </is>
      </c>
      <c r="N1652" s="4" t="inlineStr">
        <is>
          <t>en linea con comparables</t>
        </is>
      </c>
      <c r="O1652" s="4" t="n"/>
    </row>
    <row r="1653">
      <c r="A1653" s="4" t="inlineStr">
        <is>
          <t>MD-1061</t>
        </is>
      </c>
      <c r="B1653" s="21" t="n">
        <v>46201</v>
      </c>
      <c r="C1653" s="4" t="inlineStr">
        <is>
          <t>Centro</t>
        </is>
      </c>
      <c r="D1653" s="4" t="n">
        <v>50</v>
      </c>
      <c r="E1653" s="4" t="inlineStr">
        <is>
          <t>a reformar</t>
        </is>
      </c>
      <c r="F1653" s="22" t="n">
        <v>295000</v>
      </c>
      <c r="G1653" s="23" t="n">
        <v>5900</v>
      </c>
      <c r="H1653" s="22" t="n">
        <v>333638</v>
      </c>
      <c r="I1653" s="23" t="n">
        <v>6672.75</v>
      </c>
      <c r="J1653" s="18" t="n">
        <v>-0.1158</v>
      </c>
      <c r="K1653" s="24" t="n">
        <v>79</v>
      </c>
      <c r="L1653" s="4" t="n">
        <v>25</v>
      </c>
      <c r="M1653" s="4" t="inlineStr">
        <is>
          <t>alta</t>
        </is>
      </c>
      <c r="N1653" s="4" t="inlineStr">
        <is>
          <t>por debajo de comparables</t>
        </is>
      </c>
      <c r="O1653" s="4" t="n"/>
    </row>
    <row r="1654">
      <c r="A1654" s="4" t="inlineStr">
        <is>
          <t>MD-0809</t>
        </is>
      </c>
      <c r="B1654" s="21" t="n">
        <v>46202</v>
      </c>
      <c r="C1654" s="4" t="inlineStr">
        <is>
          <t>Arganzuela</t>
        </is>
      </c>
      <c r="D1654" s="4" t="n">
        <v>89</v>
      </c>
      <c r="E1654" s="4" t="inlineStr">
        <is>
          <t>buen estado</t>
        </is>
      </c>
      <c r="F1654" s="22" t="n">
        <v>633000</v>
      </c>
      <c r="G1654" s="23" t="n">
        <v>7112.36</v>
      </c>
      <c r="H1654" s="22" t="n">
        <v>542376</v>
      </c>
      <c r="I1654" s="23" t="n">
        <v>6094.11</v>
      </c>
      <c r="J1654" s="18" t="n">
        <v>0.1671</v>
      </c>
      <c r="K1654" s="24" t="n">
        <v>8.199999999999999</v>
      </c>
      <c r="L1654" s="4" t="n">
        <v>20</v>
      </c>
      <c r="M1654" s="4" t="inlineStr">
        <is>
          <t>alta</t>
        </is>
      </c>
      <c r="N1654" s="4" t="inlineStr">
        <is>
          <t>por encima de comparables</t>
        </is>
      </c>
      <c r="O1654" s="4" t="n"/>
    </row>
    <row r="1655">
      <c r="A1655" s="4" t="inlineStr">
        <is>
          <t>MD-0752</t>
        </is>
      </c>
      <c r="B1655" s="21" t="n">
        <v>46202</v>
      </c>
      <c r="C1655" s="4" t="inlineStr">
        <is>
          <t>Centro</t>
        </is>
      </c>
      <c r="D1655" s="4" t="n">
        <v>79</v>
      </c>
      <c r="E1655" s="4" t="inlineStr">
        <is>
          <t>obra nueva</t>
        </is>
      </c>
      <c r="F1655" s="22" t="n">
        <v>551000</v>
      </c>
      <c r="G1655" s="23" t="n">
        <v>6974.68</v>
      </c>
      <c r="H1655" s="22" t="n">
        <v>693403</v>
      </c>
      <c r="I1655" s="23" t="n">
        <v>8777.25</v>
      </c>
      <c r="J1655" s="18" t="n">
        <v>-0.2054</v>
      </c>
      <c r="K1655" s="24" t="n">
        <v>100</v>
      </c>
      <c r="L1655" s="4" t="n">
        <v>21</v>
      </c>
      <c r="M1655" s="4" t="inlineStr">
        <is>
          <t>alta</t>
        </is>
      </c>
      <c r="N1655" s="4" t="inlineStr">
        <is>
          <t>por debajo de comparables</t>
        </is>
      </c>
      <c r="O1655" s="4" t="n"/>
    </row>
    <row r="1656">
      <c r="A1656" s="4" t="inlineStr">
        <is>
          <t>MD-1823</t>
        </is>
      </c>
      <c r="B1656" s="21" t="n">
        <v>46202</v>
      </c>
      <c r="C1656" s="4" t="inlineStr">
        <is>
          <t>Ciudad Lineal</t>
        </is>
      </c>
      <c r="D1656" s="4" t="n">
        <v>63</v>
      </c>
      <c r="E1656" s="4" t="inlineStr">
        <is>
          <t>buen estado</t>
        </is>
      </c>
      <c r="F1656" s="22" t="n">
        <v>231000</v>
      </c>
      <c r="G1656" s="23" t="n">
        <v>3666.67</v>
      </c>
      <c r="H1656" s="22" t="n">
        <v>275826</v>
      </c>
      <c r="I1656" s="23" t="n">
        <v>4378.19</v>
      </c>
      <c r="J1656" s="18" t="n">
        <v>-0.1625</v>
      </c>
      <c r="K1656" s="24" t="n">
        <v>90.59999999999999</v>
      </c>
      <c r="L1656" s="4" t="n">
        <v>34</v>
      </c>
      <c r="M1656" s="4" t="inlineStr">
        <is>
          <t>alta</t>
        </is>
      </c>
      <c r="N1656" s="4" t="inlineStr">
        <is>
          <t>por debajo de comparables</t>
        </is>
      </c>
      <c r="O1656" s="4" t="n"/>
    </row>
    <row r="1657">
      <c r="A1657" s="4" t="inlineStr">
        <is>
          <t>MD-0310</t>
        </is>
      </c>
      <c r="B1657" s="21" t="n">
        <v>46202</v>
      </c>
      <c r="C1657" s="4" t="inlineStr">
        <is>
          <t>Hortaleza</t>
        </is>
      </c>
      <c r="D1657" s="4" t="n">
        <v>69</v>
      </c>
      <c r="E1657" s="4" t="inlineStr">
        <is>
          <t>buen estado</t>
        </is>
      </c>
      <c r="F1657" s="22" t="n">
        <v>314000</v>
      </c>
      <c r="G1657" s="23" t="n">
        <v>4550.72</v>
      </c>
      <c r="H1657" s="22" t="n">
        <v>340141</v>
      </c>
      <c r="I1657" s="23" t="n">
        <v>4929.58</v>
      </c>
      <c r="J1657" s="18" t="n">
        <v>-0.0769</v>
      </c>
      <c r="K1657" s="24" t="n">
        <v>69.2</v>
      </c>
      <c r="L1657" s="4" t="n">
        <v>29</v>
      </c>
      <c r="M1657" s="4" t="inlineStr">
        <is>
          <t>media</t>
        </is>
      </c>
      <c r="N1657" s="4" t="inlineStr">
        <is>
          <t>en linea con comparables</t>
        </is>
      </c>
      <c r="O1657" s="4" t="n"/>
    </row>
    <row r="1658">
      <c r="A1658" s="4" t="inlineStr">
        <is>
          <t>MD-0533</t>
        </is>
      </c>
      <c r="B1658" s="21" t="n">
        <v>46202</v>
      </c>
      <c r="C1658" s="4" t="inlineStr">
        <is>
          <t>Carabanchel</t>
        </is>
      </c>
      <c r="D1658" s="4" t="n">
        <v>41</v>
      </c>
      <c r="E1658" s="4" t="inlineStr">
        <is>
          <t>buen estado</t>
        </is>
      </c>
      <c r="F1658" s="22" t="n">
        <v>143000</v>
      </c>
      <c r="G1658" s="23" t="n">
        <v>3487.8</v>
      </c>
      <c r="H1658" s="22" t="n">
        <v>118991</v>
      </c>
      <c r="I1658" s="23" t="n">
        <v>2902.23</v>
      </c>
      <c r="J1658" s="18" t="n">
        <v>0.2018</v>
      </c>
      <c r="K1658" s="24" t="n">
        <v>0</v>
      </c>
      <c r="L1658" s="4" t="n">
        <v>18</v>
      </c>
      <c r="M1658" s="4" t="inlineStr">
        <is>
          <t>alta</t>
        </is>
      </c>
      <c r="N1658" s="4" t="inlineStr">
        <is>
          <t>por encima de comparables</t>
        </is>
      </c>
      <c r="O1658" s="4" t="n"/>
    </row>
    <row r="1659">
      <c r="A1659" s="4" t="inlineStr">
        <is>
          <t>MD-1936</t>
        </is>
      </c>
      <c r="B1659" s="21" t="n">
        <v>46202</v>
      </c>
      <c r="C1659" s="4" t="inlineStr">
        <is>
          <t>Fuencarral-El Pardo</t>
        </is>
      </c>
      <c r="D1659" s="4" t="n">
        <v>167</v>
      </c>
      <c r="E1659" s="4" t="inlineStr">
        <is>
          <t>reformado</t>
        </is>
      </c>
      <c r="F1659" s="22" t="n">
        <v>814000</v>
      </c>
      <c r="G1659" s="23" t="n">
        <v>4874.25</v>
      </c>
      <c r="H1659" s="22" t="n">
        <v>885609</v>
      </c>
      <c r="I1659" s="23" t="n">
        <v>5303.05</v>
      </c>
      <c r="J1659" s="18" t="n">
        <v>-0.0809</v>
      </c>
      <c r="K1659" s="24" t="n">
        <v>70.2</v>
      </c>
      <c r="L1659" s="4" t="n">
        <v>26</v>
      </c>
      <c r="M1659" s="4" t="inlineStr">
        <is>
          <t>media</t>
        </is>
      </c>
      <c r="N1659" s="4" t="inlineStr">
        <is>
          <t>en linea con comparables</t>
        </is>
      </c>
      <c r="O1659" s="4" t="n"/>
    </row>
    <row r="1660">
      <c r="A1660" s="4" t="inlineStr">
        <is>
          <t>MD-1603</t>
        </is>
      </c>
      <c r="B1660" s="21" t="n">
        <v>46202</v>
      </c>
      <c r="C1660" s="4" t="inlineStr">
        <is>
          <t>Hortaleza</t>
        </is>
      </c>
      <c r="D1660" s="4" t="n">
        <v>133</v>
      </c>
      <c r="E1660" s="4" t="inlineStr">
        <is>
          <t>obra nueva</t>
        </is>
      </c>
      <c r="F1660" s="22" t="n">
        <v>706000</v>
      </c>
      <c r="G1660" s="23" t="n">
        <v>5308.27</v>
      </c>
      <c r="H1660" s="22" t="n">
        <v>799879</v>
      </c>
      <c r="I1660" s="23" t="n">
        <v>6014.13</v>
      </c>
      <c r="J1660" s="18" t="n">
        <v>-0.1174</v>
      </c>
      <c r="K1660" s="24" t="n">
        <v>79.3</v>
      </c>
      <c r="L1660" s="4" t="n">
        <v>36</v>
      </c>
      <c r="M1660" s="4" t="inlineStr">
        <is>
          <t>alta</t>
        </is>
      </c>
      <c r="N1660" s="4" t="inlineStr">
        <is>
          <t>por debajo de comparables</t>
        </is>
      </c>
      <c r="O1660" s="4" t="n"/>
    </row>
    <row r="1661">
      <c r="A1661" s="4" t="inlineStr">
        <is>
          <t>MD-0238</t>
        </is>
      </c>
      <c r="B1661" s="21" t="n">
        <v>46203</v>
      </c>
      <c r="C1661" s="4" t="inlineStr">
        <is>
          <t>Chamberi</t>
        </is>
      </c>
      <c r="D1661" s="4" t="n">
        <v>131</v>
      </c>
      <c r="E1661" s="4" t="inlineStr">
        <is>
          <t>a reformar</t>
        </is>
      </c>
      <c r="F1661" s="22" t="n">
        <v>625000</v>
      </c>
      <c r="G1661" s="23" t="n">
        <v>4770.99</v>
      </c>
      <c r="H1661" s="22" t="n"/>
      <c r="I1661" s="23" t="n"/>
      <c r="J1661" s="18" t="n"/>
      <c r="K1661" s="24" t="n"/>
      <c r="L1661" s="4" t="n">
        <v>4</v>
      </c>
      <c r="M1661" s="4" t="inlineStr">
        <is>
          <t>sin muestra</t>
        </is>
      </c>
      <c r="N1661" s="4" t="inlineStr">
        <is>
          <t>no valorable</t>
        </is>
      </c>
      <c r="O1661" s="4" t="inlineStr">
        <is>
          <t>segmento con pocas operaciones comparables</t>
        </is>
      </c>
    </row>
    <row r="1662">
      <c r="A1662" s="4" t="inlineStr">
        <is>
          <t>MD-0488</t>
        </is>
      </c>
      <c r="B1662" s="21" t="n">
        <v>46203</v>
      </c>
      <c r="C1662" s="4" t="inlineStr">
        <is>
          <t>Ciudad Lineal</t>
        </is>
      </c>
      <c r="D1662" s="4" t="n">
        <v>75</v>
      </c>
      <c r="E1662" s="4" t="inlineStr">
        <is>
          <t>buen estado</t>
        </is>
      </c>
      <c r="F1662" s="22" t="n">
        <v>352000</v>
      </c>
      <c r="G1662" s="23" t="n">
        <v>4693.33</v>
      </c>
      <c r="H1662" s="22" t="n">
        <v>365805</v>
      </c>
      <c r="I1662" s="23" t="n">
        <v>4877.39</v>
      </c>
      <c r="J1662" s="18" t="n">
        <v>-0.0377</v>
      </c>
      <c r="K1662" s="24" t="n">
        <v>59.4</v>
      </c>
      <c r="L1662" s="4" t="n">
        <v>37</v>
      </c>
      <c r="M1662" s="4" t="inlineStr">
        <is>
          <t>alta</t>
        </is>
      </c>
      <c r="N1662" s="4" t="inlineStr">
        <is>
          <t>en linea con comparables</t>
        </is>
      </c>
      <c r="O1662" s="4" t="n"/>
    </row>
    <row r="1663">
      <c r="A1663" s="4" t="inlineStr">
        <is>
          <t>MD-0831</t>
        </is>
      </c>
      <c r="B1663" s="21" t="n">
        <v>46203</v>
      </c>
      <c r="C1663" s="4" t="inlineStr">
        <is>
          <t>Ciudad Lineal</t>
        </is>
      </c>
      <c r="D1663" s="4" t="n">
        <v>43</v>
      </c>
      <c r="E1663" s="4" t="inlineStr">
        <is>
          <t>reformado</t>
        </is>
      </c>
      <c r="F1663" s="22" t="n">
        <v>218000</v>
      </c>
      <c r="G1663" s="23" t="n">
        <v>5069.77</v>
      </c>
      <c r="H1663" s="22" t="n">
        <v>226503</v>
      </c>
      <c r="I1663" s="23" t="n">
        <v>5267.52</v>
      </c>
      <c r="J1663" s="18" t="n">
        <v>-0.0375</v>
      </c>
      <c r="K1663" s="24" t="n">
        <v>59.4</v>
      </c>
      <c r="L1663" s="4" t="n">
        <v>28</v>
      </c>
      <c r="M1663" s="4" t="inlineStr">
        <is>
          <t>media</t>
        </is>
      </c>
      <c r="N1663" s="4" t="inlineStr">
        <is>
          <t>en linea con comparables</t>
        </is>
      </c>
      <c r="O1663" s="4" t="n"/>
    </row>
    <row r="1664">
      <c r="A1664" s="4" t="inlineStr">
        <is>
          <t>MD-1114</t>
        </is>
      </c>
      <c r="B1664" s="21" t="n">
        <v>46203</v>
      </c>
      <c r="C1664" s="4" t="inlineStr">
        <is>
          <t>Carabanchel</t>
        </is>
      </c>
      <c r="D1664" s="4" t="n">
        <v>57</v>
      </c>
      <c r="E1664" s="4" t="inlineStr">
        <is>
          <t>reformado</t>
        </is>
      </c>
      <c r="F1664" s="22" t="n">
        <v>223000</v>
      </c>
      <c r="G1664" s="23" t="n">
        <v>3912.28</v>
      </c>
      <c r="H1664" s="22" t="n">
        <v>211784</v>
      </c>
      <c r="I1664" s="23" t="n">
        <v>3715.51</v>
      </c>
      <c r="J1664" s="18" t="n">
        <v>0.053</v>
      </c>
      <c r="K1664" s="24" t="n">
        <v>36.8</v>
      </c>
      <c r="L1664" s="4" t="n">
        <v>44</v>
      </c>
      <c r="M1664" s="4" t="inlineStr">
        <is>
          <t>alta</t>
        </is>
      </c>
      <c r="N1664" s="4" t="inlineStr">
        <is>
          <t>en linea con comparables</t>
        </is>
      </c>
      <c r="O1664" s="4" t="n"/>
    </row>
    <row r="1665">
      <c r="A1665" s="4" t="inlineStr">
        <is>
          <t>MD-1407</t>
        </is>
      </c>
      <c r="B1665" s="21" t="n">
        <v>46204</v>
      </c>
      <c r="C1665" s="4" t="inlineStr">
        <is>
          <t>Fuencarral-El Pardo</t>
        </is>
      </c>
      <c r="D1665" s="4" t="n">
        <v>113</v>
      </c>
      <c r="E1665" s="4" t="inlineStr">
        <is>
          <t>a reformar</t>
        </is>
      </c>
      <c r="F1665" s="22" t="n">
        <v>515000</v>
      </c>
      <c r="G1665" s="23" t="n">
        <v>4557.52</v>
      </c>
      <c r="H1665" s="22" t="n">
        <v>477429</v>
      </c>
      <c r="I1665" s="23" t="n">
        <v>4225.04</v>
      </c>
      <c r="J1665" s="18" t="n">
        <v>0.07870000000000001</v>
      </c>
      <c r="K1665" s="24" t="n">
        <v>30.3</v>
      </c>
      <c r="L1665" s="4" t="n">
        <v>31</v>
      </c>
      <c r="M1665" s="4" t="inlineStr">
        <is>
          <t>alta</t>
        </is>
      </c>
      <c r="N1665" s="4" t="inlineStr">
        <is>
          <t>en linea con comparables</t>
        </is>
      </c>
      <c r="O1665" s="4" t="n"/>
    </row>
    <row r="1666">
      <c r="A1666" s="4" t="inlineStr">
        <is>
          <t>MD-0622</t>
        </is>
      </c>
      <c r="B1666" s="21" t="n">
        <v>46204</v>
      </c>
      <c r="C1666" s="4" t="inlineStr">
        <is>
          <t>Moncloa-Aravaca</t>
        </is>
      </c>
      <c r="D1666" s="4" t="n">
        <v>128</v>
      </c>
      <c r="E1666" s="4" t="inlineStr">
        <is>
          <t>a reformar</t>
        </is>
      </c>
      <c r="F1666" s="22" t="n">
        <v>575000</v>
      </c>
      <c r="G1666" s="23" t="n">
        <v>4492.19</v>
      </c>
      <c r="H1666" s="22" t="n">
        <v>594221</v>
      </c>
      <c r="I1666" s="23" t="n">
        <v>4642.35</v>
      </c>
      <c r="J1666" s="18" t="n">
        <v>-0.0323</v>
      </c>
      <c r="K1666" s="24" t="n">
        <v>58.1</v>
      </c>
      <c r="L1666" s="4" t="n">
        <v>8</v>
      </c>
      <c r="M1666" s="4" t="inlineStr">
        <is>
          <t>media</t>
        </is>
      </c>
      <c r="N1666" s="4" t="inlineStr">
        <is>
          <t>en linea con comparables</t>
        </is>
      </c>
      <c r="O1666" s="4" t="n"/>
    </row>
    <row r="1667">
      <c r="A1667" s="4" t="inlineStr">
        <is>
          <t>MD-1995</t>
        </is>
      </c>
      <c r="B1667" s="21" t="n">
        <v>46204</v>
      </c>
      <c r="C1667" s="4" t="inlineStr">
        <is>
          <t>Usera</t>
        </is>
      </c>
      <c r="D1667" s="4" t="n">
        <v>40</v>
      </c>
      <c r="E1667" s="4" t="inlineStr">
        <is>
          <t>buen estado</t>
        </is>
      </c>
      <c r="F1667" s="22" t="n">
        <v>107000</v>
      </c>
      <c r="G1667" s="23" t="n">
        <v>2675</v>
      </c>
      <c r="H1667" s="22" t="n"/>
      <c r="I1667" s="23" t="n"/>
      <c r="J1667" s="18" t="n"/>
      <c r="K1667" s="24" t="n"/>
      <c r="L1667" s="4" t="n">
        <v>0</v>
      </c>
      <c r="M1667" s="4" t="inlineStr">
        <is>
          <t>sin muestra</t>
        </is>
      </c>
      <c r="N1667" s="4" t="inlineStr">
        <is>
          <t>no valorable</t>
        </is>
      </c>
      <c r="O1667" s="4" t="inlineStr">
        <is>
          <t>segmento con pocas operaciones comparables</t>
        </is>
      </c>
    </row>
    <row r="1668">
      <c r="A1668" s="4" t="inlineStr">
        <is>
          <t>MD-0266</t>
        </is>
      </c>
      <c r="B1668" s="21" t="n">
        <v>46204</v>
      </c>
      <c r="C1668" s="4" t="inlineStr">
        <is>
          <t>Moratalaz</t>
        </is>
      </c>
      <c r="D1668" s="4" t="n">
        <v>57</v>
      </c>
      <c r="E1668" s="4" t="inlineStr">
        <is>
          <t>buen estado</t>
        </is>
      </c>
      <c r="F1668" s="22" t="n">
        <v>196000</v>
      </c>
      <c r="G1668" s="23" t="n">
        <v>3438.6</v>
      </c>
      <c r="H1668" s="22" t="n">
        <v>208655</v>
      </c>
      <c r="I1668" s="23" t="n">
        <v>3660.62</v>
      </c>
      <c r="J1668" s="18" t="n">
        <v>-0.0607</v>
      </c>
      <c r="K1668" s="24" t="n">
        <v>65.2</v>
      </c>
      <c r="L1668" s="4" t="n">
        <v>14</v>
      </c>
      <c r="M1668" s="4" t="inlineStr">
        <is>
          <t>media</t>
        </is>
      </c>
      <c r="N1668" s="4" t="inlineStr">
        <is>
          <t>en linea con comparables</t>
        </is>
      </c>
      <c r="O1668" s="4" t="n"/>
    </row>
    <row r="1669">
      <c r="A1669" s="4" t="inlineStr">
        <is>
          <t>MD-1166</t>
        </is>
      </c>
      <c r="B1669" s="21" t="n">
        <v>46205</v>
      </c>
      <c r="C1669" s="4" t="inlineStr">
        <is>
          <t>Chamberi</t>
        </is>
      </c>
      <c r="D1669" s="4" t="n">
        <v>189</v>
      </c>
      <c r="E1669" s="4" t="inlineStr">
        <is>
          <t>buen estado</t>
        </is>
      </c>
      <c r="F1669" s="22" t="n">
        <v>1328000</v>
      </c>
      <c r="G1669" s="23" t="n">
        <v>7026.46</v>
      </c>
      <c r="H1669" s="22" t="n">
        <v>1392185</v>
      </c>
      <c r="I1669" s="23" t="n">
        <v>7366.06</v>
      </c>
      <c r="J1669" s="18" t="n">
        <v>-0.0461</v>
      </c>
      <c r="K1669" s="24" t="n">
        <v>61.5</v>
      </c>
      <c r="L1669" s="4" t="n">
        <v>13</v>
      </c>
      <c r="M1669" s="4" t="inlineStr">
        <is>
          <t>media</t>
        </is>
      </c>
      <c r="N1669" s="4" t="inlineStr">
        <is>
          <t>en linea con comparables</t>
        </is>
      </c>
      <c r="O1669" s="4" t="n"/>
    </row>
    <row r="1670">
      <c r="A1670" s="4" t="inlineStr">
        <is>
          <t>MD-0072</t>
        </is>
      </c>
      <c r="B1670" s="21" t="n">
        <v>46205</v>
      </c>
      <c r="C1670" s="4" t="inlineStr">
        <is>
          <t>Moratalaz</t>
        </is>
      </c>
      <c r="D1670" s="4" t="n">
        <v>99</v>
      </c>
      <c r="E1670" s="4" t="inlineStr">
        <is>
          <t>buen estado</t>
        </is>
      </c>
      <c r="F1670" s="22" t="n">
        <v>293000</v>
      </c>
      <c r="G1670" s="23" t="n">
        <v>2959.6</v>
      </c>
      <c r="H1670" s="22" t="n">
        <v>348484</v>
      </c>
      <c r="I1670" s="23" t="n">
        <v>3520.04</v>
      </c>
      <c r="J1670" s="18" t="n">
        <v>-0.1592</v>
      </c>
      <c r="K1670" s="24" t="n">
        <v>89.8</v>
      </c>
      <c r="L1670" s="4" t="n">
        <v>18</v>
      </c>
      <c r="M1670" s="4" t="inlineStr">
        <is>
          <t>alta</t>
        </is>
      </c>
      <c r="N1670" s="4" t="inlineStr">
        <is>
          <t>por debajo de comparables</t>
        </is>
      </c>
      <c r="O1670" s="4" t="n"/>
    </row>
    <row r="1671">
      <c r="A1671" s="4" t="inlineStr">
        <is>
          <t>MD-1931</t>
        </is>
      </c>
      <c r="B1671" s="21" t="n">
        <v>46205</v>
      </c>
      <c r="C1671" s="4" t="inlineStr">
        <is>
          <t>Chamartin</t>
        </is>
      </c>
      <c r="D1671" s="4" t="n">
        <v>41</v>
      </c>
      <c r="E1671" s="4" t="inlineStr">
        <is>
          <t>buen estado</t>
        </is>
      </c>
      <c r="F1671" s="22" t="n">
        <v>325000</v>
      </c>
      <c r="G1671" s="23" t="n">
        <v>7926.83</v>
      </c>
      <c r="H1671" s="22" t="n">
        <v>311906</v>
      </c>
      <c r="I1671" s="23" t="n">
        <v>7607.47</v>
      </c>
      <c r="J1671" s="18" t="n">
        <v>0.042</v>
      </c>
      <c r="K1671" s="24" t="n">
        <v>39.5</v>
      </c>
      <c r="L1671" s="4" t="n">
        <v>11</v>
      </c>
      <c r="M1671" s="4" t="inlineStr">
        <is>
          <t>media</t>
        </is>
      </c>
      <c r="N1671" s="4" t="inlineStr">
        <is>
          <t>en linea con comparables</t>
        </is>
      </c>
      <c r="O1671" s="4" t="n"/>
    </row>
    <row r="1672">
      <c r="A1672" s="4" t="inlineStr">
        <is>
          <t>MD-0344</t>
        </is>
      </c>
      <c r="B1672" s="21" t="n">
        <v>46205</v>
      </c>
      <c r="C1672" s="4" t="inlineStr">
        <is>
          <t>Moncloa-Aravaca</t>
        </is>
      </c>
      <c r="D1672" s="4" t="n">
        <v>71</v>
      </c>
      <c r="E1672" s="4" t="inlineStr">
        <is>
          <t>buen estado</t>
        </is>
      </c>
      <c r="F1672" s="22" t="n">
        <v>555000</v>
      </c>
      <c r="G1672" s="23" t="n">
        <v>7816.9</v>
      </c>
      <c r="H1672" s="22" t="n">
        <v>430613</v>
      </c>
      <c r="I1672" s="23" t="n">
        <v>6064.97</v>
      </c>
      <c r="J1672" s="18" t="n">
        <v>0.2889</v>
      </c>
      <c r="K1672" s="24" t="n">
        <v>0</v>
      </c>
      <c r="L1672" s="4" t="n">
        <v>12</v>
      </c>
      <c r="M1672" s="4" t="inlineStr">
        <is>
          <t>media</t>
        </is>
      </c>
      <c r="N1672" s="4" t="inlineStr">
        <is>
          <t>por encima de comparables</t>
        </is>
      </c>
      <c r="O1672" s="4" t="n"/>
    </row>
    <row r="1673">
      <c r="A1673" s="4" t="inlineStr">
        <is>
          <t>MD-1069</t>
        </is>
      </c>
      <c r="B1673" s="21" t="n">
        <v>46205</v>
      </c>
      <c r="C1673" s="4" t="inlineStr">
        <is>
          <t>Puente de Vallecas</t>
        </is>
      </c>
      <c r="D1673" s="4" t="n">
        <v>81</v>
      </c>
      <c r="E1673" s="4" t="inlineStr">
        <is>
          <t>buen estado</t>
        </is>
      </c>
      <c r="F1673" s="22" t="n">
        <v>300000</v>
      </c>
      <c r="G1673" s="23" t="n">
        <v>3703.7</v>
      </c>
      <c r="H1673" s="22" t="n">
        <v>235829</v>
      </c>
      <c r="I1673" s="23" t="n">
        <v>2911.47</v>
      </c>
      <c r="J1673" s="18" t="n">
        <v>0.2721</v>
      </c>
      <c r="K1673" s="24" t="n">
        <v>0</v>
      </c>
      <c r="L1673" s="4" t="n">
        <v>40</v>
      </c>
      <c r="M1673" s="4" t="inlineStr">
        <is>
          <t>media</t>
        </is>
      </c>
      <c r="N1673" s="4" t="inlineStr">
        <is>
          <t>por encima de comparables</t>
        </is>
      </c>
      <c r="O1673" s="4" t="n"/>
    </row>
    <row r="1674">
      <c r="A1674" s="4" t="inlineStr">
        <is>
          <t>MD-0487</t>
        </is>
      </c>
      <c r="B1674" s="21" t="n">
        <v>46205</v>
      </c>
      <c r="C1674" s="4" t="inlineStr">
        <is>
          <t>Centro</t>
        </is>
      </c>
      <c r="D1674" s="4" t="n">
        <v>64</v>
      </c>
      <c r="E1674" s="4" t="inlineStr">
        <is>
          <t>reformado</t>
        </is>
      </c>
      <c r="F1674" s="22" t="n">
        <v>551000</v>
      </c>
      <c r="G1674" s="23" t="n">
        <v>8609.379999999999</v>
      </c>
      <c r="H1674" s="22" t="n">
        <v>501888</v>
      </c>
      <c r="I1674" s="23" t="n">
        <v>7842</v>
      </c>
      <c r="J1674" s="18" t="n">
        <v>0.0979</v>
      </c>
      <c r="K1674" s="24" t="n">
        <v>25.5</v>
      </c>
      <c r="L1674" s="4" t="n">
        <v>25</v>
      </c>
      <c r="M1674" s="4" t="inlineStr">
        <is>
          <t>alta</t>
        </is>
      </c>
      <c r="N1674" s="4" t="inlineStr">
        <is>
          <t>en linea con comparables</t>
        </is>
      </c>
      <c r="O1674" s="4" t="n"/>
    </row>
    <row r="1675">
      <c r="A1675" s="4" t="inlineStr">
        <is>
          <t>MD-1011</t>
        </is>
      </c>
      <c r="B1675" s="21" t="n">
        <v>46205</v>
      </c>
      <c r="C1675" s="4" t="inlineStr">
        <is>
          <t>Hortaleza</t>
        </is>
      </c>
      <c r="D1675" s="4" t="n">
        <v>95</v>
      </c>
      <c r="E1675" s="4" t="inlineStr">
        <is>
          <t>reformado</t>
        </is>
      </c>
      <c r="F1675" s="22" t="n">
        <v>407000</v>
      </c>
      <c r="G1675" s="23" t="n">
        <v>4284.21</v>
      </c>
      <c r="H1675" s="22" t="n">
        <v>503653</v>
      </c>
      <c r="I1675" s="23" t="n">
        <v>5301.62</v>
      </c>
      <c r="J1675" s="18" t="n">
        <v>-0.1919</v>
      </c>
      <c r="K1675" s="24" t="n">
        <v>98</v>
      </c>
      <c r="L1675" s="4" t="n">
        <v>29</v>
      </c>
      <c r="M1675" s="4" t="inlineStr">
        <is>
          <t>alta</t>
        </is>
      </c>
      <c r="N1675" s="4" t="inlineStr">
        <is>
          <t>por debajo de comparables</t>
        </is>
      </c>
      <c r="O1675" s="4" t="n"/>
    </row>
    <row r="1676">
      <c r="A1676" s="4" t="inlineStr">
        <is>
          <t>MD-0769</t>
        </is>
      </c>
      <c r="B1676" s="21" t="n">
        <v>46205</v>
      </c>
      <c r="C1676" s="4" t="inlineStr">
        <is>
          <t>Tetuan</t>
        </is>
      </c>
      <c r="D1676" s="4" t="n">
        <v>41</v>
      </c>
      <c r="E1676" s="4" t="inlineStr">
        <is>
          <t>reformado</t>
        </is>
      </c>
      <c r="F1676" s="22" t="n">
        <v>187000</v>
      </c>
      <c r="G1676" s="23" t="n">
        <v>4560.98</v>
      </c>
      <c r="H1676" s="22" t="n">
        <v>259398</v>
      </c>
      <c r="I1676" s="23" t="n">
        <v>6326.78</v>
      </c>
      <c r="J1676" s="18" t="n">
        <v>-0.2791</v>
      </c>
      <c r="K1676" s="24" t="n">
        <v>100</v>
      </c>
      <c r="L1676" s="4" t="n">
        <v>20</v>
      </c>
      <c r="M1676" s="4" t="inlineStr">
        <is>
          <t>media</t>
        </is>
      </c>
      <c r="N1676" s="4" t="inlineStr">
        <is>
          <t>por debajo de comparables</t>
        </is>
      </c>
      <c r="O1676" s="4" t="n"/>
    </row>
    <row r="1677">
      <c r="A1677" s="4" t="inlineStr">
        <is>
          <t>MD-0630</t>
        </is>
      </c>
      <c r="B1677" s="21" t="n">
        <v>46206</v>
      </c>
      <c r="C1677" s="4" t="inlineStr">
        <is>
          <t>Chamberi</t>
        </is>
      </c>
      <c r="D1677" s="4" t="n">
        <v>48</v>
      </c>
      <c r="E1677" s="4" t="inlineStr">
        <is>
          <t>buen estado</t>
        </is>
      </c>
      <c r="F1677" s="22" t="n">
        <v>439000</v>
      </c>
      <c r="G1677" s="23" t="n">
        <v>9145.83</v>
      </c>
      <c r="H1677" s="22" t="n">
        <v>318209</v>
      </c>
      <c r="I1677" s="23" t="n">
        <v>6629.35</v>
      </c>
      <c r="J1677" s="18" t="n">
        <v>0.3796</v>
      </c>
      <c r="K1677" s="24" t="n">
        <v>0</v>
      </c>
      <c r="L1677" s="4" t="n">
        <v>12</v>
      </c>
      <c r="M1677" s="4" t="inlineStr">
        <is>
          <t>media</t>
        </is>
      </c>
      <c r="N1677" s="4" t="inlineStr">
        <is>
          <t>por encima de comparables</t>
        </is>
      </c>
      <c r="O1677" s="4" t="n"/>
    </row>
    <row r="1678">
      <c r="A1678" s="4" t="inlineStr">
        <is>
          <t>MD-0637</t>
        </is>
      </c>
      <c r="B1678" s="21" t="n">
        <v>46206</v>
      </c>
      <c r="C1678" s="4" t="inlineStr">
        <is>
          <t>Hortaleza</t>
        </is>
      </c>
      <c r="D1678" s="4" t="n">
        <v>148</v>
      </c>
      <c r="E1678" s="4" t="inlineStr">
        <is>
          <t>obra nueva</t>
        </is>
      </c>
      <c r="F1678" s="22" t="n">
        <v>1476000</v>
      </c>
      <c r="G1678" s="23" t="n">
        <v>9972.969999999999</v>
      </c>
      <c r="H1678" s="22" t="n">
        <v>863319</v>
      </c>
      <c r="I1678" s="23" t="n">
        <v>5833.24</v>
      </c>
      <c r="J1678" s="18" t="n">
        <v>0.7097</v>
      </c>
      <c r="K1678" s="24" t="n">
        <v>0</v>
      </c>
      <c r="L1678" s="4" t="n">
        <v>35</v>
      </c>
      <c r="M1678" s="4" t="inlineStr">
        <is>
          <t>alta</t>
        </is>
      </c>
      <c r="N1678" s="4" t="inlineStr">
        <is>
          <t>por encima de comparables</t>
        </is>
      </c>
      <c r="O1678" s="4" t="n"/>
    </row>
    <row r="1679">
      <c r="A1679" s="4" t="inlineStr">
        <is>
          <t>MD-1926</t>
        </is>
      </c>
      <c r="B1679" s="21" t="n">
        <v>46206</v>
      </c>
      <c r="C1679" s="4" t="inlineStr">
        <is>
          <t>Chamberi</t>
        </is>
      </c>
      <c r="D1679" s="4" t="n">
        <v>178</v>
      </c>
      <c r="E1679" s="4" t="inlineStr">
        <is>
          <t>reformado</t>
        </is>
      </c>
      <c r="F1679" s="22" t="n">
        <v>1590000</v>
      </c>
      <c r="G1679" s="23" t="n">
        <v>8932.58</v>
      </c>
      <c r="H1679" s="22" t="n">
        <v>1446755</v>
      </c>
      <c r="I1679" s="23" t="n">
        <v>8127.84</v>
      </c>
      <c r="J1679" s="18" t="n">
        <v>0.099</v>
      </c>
      <c r="K1679" s="24" t="n">
        <v>25.2</v>
      </c>
      <c r="L1679" s="4" t="n">
        <v>13</v>
      </c>
      <c r="M1679" s="4" t="inlineStr">
        <is>
          <t>media</t>
        </is>
      </c>
      <c r="N1679" s="4" t="inlineStr">
        <is>
          <t>en linea con comparables</t>
        </is>
      </c>
      <c r="O1679" s="4" t="n"/>
    </row>
    <row r="1680">
      <c r="A1680" s="4" t="inlineStr">
        <is>
          <t>MD-1692</t>
        </is>
      </c>
      <c r="B1680" s="21" t="n">
        <v>46206</v>
      </c>
      <c r="C1680" s="4" t="inlineStr">
        <is>
          <t>Puente de Vallecas</t>
        </is>
      </c>
      <c r="D1680" s="4" t="n">
        <v>30</v>
      </c>
      <c r="E1680" s="4" t="inlineStr">
        <is>
          <t>buen estado</t>
        </is>
      </c>
      <c r="F1680" s="22" t="n">
        <v>87000</v>
      </c>
      <c r="G1680" s="23" t="n">
        <v>2900</v>
      </c>
      <c r="H1680" s="22" t="n">
        <v>87329</v>
      </c>
      <c r="I1680" s="23" t="n">
        <v>2910.97</v>
      </c>
      <c r="J1680" s="18" t="n">
        <v>-0.0038</v>
      </c>
      <c r="K1680" s="24" t="n">
        <v>50.9</v>
      </c>
      <c r="L1680" s="4" t="n">
        <v>14</v>
      </c>
      <c r="M1680" s="4" t="inlineStr">
        <is>
          <t>media</t>
        </is>
      </c>
      <c r="N1680" s="4" t="inlineStr">
        <is>
          <t>en linea con comparables</t>
        </is>
      </c>
      <c r="O1680" s="4" t="n"/>
    </row>
    <row r="1681">
      <c r="A1681" s="4" t="inlineStr">
        <is>
          <t>MD-1467</t>
        </is>
      </c>
      <c r="B1681" s="21" t="n">
        <v>46206</v>
      </c>
      <c r="C1681" s="4" t="inlineStr">
        <is>
          <t>Vicalvaro</t>
        </is>
      </c>
      <c r="D1681" s="4" t="n">
        <v>60</v>
      </c>
      <c r="E1681" s="4" t="inlineStr">
        <is>
          <t>reformado</t>
        </is>
      </c>
      <c r="F1681" s="22" t="n">
        <v>210000</v>
      </c>
      <c r="G1681" s="23" t="n">
        <v>3500</v>
      </c>
      <c r="H1681" s="22" t="n">
        <v>215118</v>
      </c>
      <c r="I1681" s="23" t="n">
        <v>3585.29</v>
      </c>
      <c r="J1681" s="18" t="n">
        <v>-0.0238</v>
      </c>
      <c r="K1681" s="24" t="n">
        <v>55.9</v>
      </c>
      <c r="L1681" s="4" t="n">
        <v>13</v>
      </c>
      <c r="M1681" s="4" t="inlineStr">
        <is>
          <t>media</t>
        </is>
      </c>
      <c r="N1681" s="4" t="inlineStr">
        <is>
          <t>en linea con comparables</t>
        </is>
      </c>
      <c r="O1681" s="4" t="n"/>
    </row>
    <row r="1682">
      <c r="A1682" s="4" t="inlineStr">
        <is>
          <t>MD-0234</t>
        </is>
      </c>
      <c r="B1682" s="21" t="n">
        <v>46206</v>
      </c>
      <c r="C1682" s="4" t="inlineStr">
        <is>
          <t>Arganzuela</t>
        </is>
      </c>
      <c r="D1682" s="4" t="n">
        <v>60</v>
      </c>
      <c r="E1682" s="4" t="inlineStr">
        <is>
          <t>a reformar</t>
        </is>
      </c>
      <c r="F1682" s="22" t="n">
        <v>264000</v>
      </c>
      <c r="G1682" s="23" t="n">
        <v>4400</v>
      </c>
      <c r="H1682" s="22" t="n">
        <v>298035</v>
      </c>
      <c r="I1682" s="23" t="n">
        <v>4967.25</v>
      </c>
      <c r="J1682" s="18" t="n">
        <v>-0.1142</v>
      </c>
      <c r="K1682" s="24" t="n">
        <v>78.5</v>
      </c>
      <c r="L1682" s="4" t="n">
        <v>23</v>
      </c>
      <c r="M1682" s="4" t="inlineStr">
        <is>
          <t>alta</t>
        </is>
      </c>
      <c r="N1682" s="4" t="inlineStr">
        <is>
          <t>por debajo de comparables</t>
        </is>
      </c>
      <c r="O1682" s="4" t="n"/>
    </row>
    <row r="1683">
      <c r="A1683" s="4" t="inlineStr">
        <is>
          <t>MD-1025</t>
        </is>
      </c>
      <c r="B1683" s="21" t="n">
        <v>46206</v>
      </c>
      <c r="C1683" s="4" t="inlineStr">
        <is>
          <t>Hortaleza</t>
        </is>
      </c>
      <c r="D1683" s="4" t="n">
        <v>122</v>
      </c>
      <c r="E1683" s="4" t="inlineStr">
        <is>
          <t>buen estado</t>
        </is>
      </c>
      <c r="F1683" s="22" t="n">
        <v>763000</v>
      </c>
      <c r="G1683" s="23" t="n">
        <v>6254.1</v>
      </c>
      <c r="H1683" s="22" t="n">
        <v>660210</v>
      </c>
      <c r="I1683" s="23" t="n">
        <v>5411.56</v>
      </c>
      <c r="J1683" s="18" t="n">
        <v>0.1557</v>
      </c>
      <c r="K1683" s="24" t="n">
        <v>11.1</v>
      </c>
      <c r="L1683" s="4" t="n">
        <v>30</v>
      </c>
      <c r="M1683" s="4" t="inlineStr">
        <is>
          <t>alta</t>
        </is>
      </c>
      <c r="N1683" s="4" t="inlineStr">
        <is>
          <t>por encima de comparables</t>
        </is>
      </c>
      <c r="O1683" s="4" t="n"/>
    </row>
    <row r="1684">
      <c r="A1684" s="4" t="inlineStr">
        <is>
          <t>MD-1729</t>
        </is>
      </c>
      <c r="B1684" s="21" t="n">
        <v>46207</v>
      </c>
      <c r="C1684" s="4" t="inlineStr">
        <is>
          <t>Carabanchel</t>
        </is>
      </c>
      <c r="D1684" s="4" t="n">
        <v>65</v>
      </c>
      <c r="E1684" s="4" t="inlineStr">
        <is>
          <t>buen estado</t>
        </is>
      </c>
      <c r="F1684" s="22" t="n">
        <v>175000</v>
      </c>
      <c r="G1684" s="23" t="n">
        <v>2692.31</v>
      </c>
      <c r="H1684" s="22" t="n">
        <v>217750</v>
      </c>
      <c r="I1684" s="23" t="n">
        <v>3350</v>
      </c>
      <c r="J1684" s="18" t="n">
        <v>-0.1963</v>
      </c>
      <c r="K1684" s="24" t="n">
        <v>99.09999999999999</v>
      </c>
      <c r="L1684" s="4" t="n">
        <v>51</v>
      </c>
      <c r="M1684" s="4" t="inlineStr">
        <is>
          <t>alta</t>
        </is>
      </c>
      <c r="N1684" s="4" t="inlineStr">
        <is>
          <t>por debajo de comparables</t>
        </is>
      </c>
      <c r="O1684" s="4" t="n"/>
    </row>
    <row r="1685">
      <c r="A1685" s="4" t="inlineStr">
        <is>
          <t>MD-0330</t>
        </is>
      </c>
      <c r="B1685" s="21" t="n">
        <v>46208</v>
      </c>
      <c r="C1685" s="4" t="inlineStr">
        <is>
          <t>Ciudad Lineal</t>
        </is>
      </c>
      <c r="D1685" s="4" t="n">
        <v>61</v>
      </c>
      <c r="E1685" s="4" t="inlineStr">
        <is>
          <t>a reformar</t>
        </is>
      </c>
      <c r="F1685" s="22" t="n">
        <v>203000</v>
      </c>
      <c r="G1685" s="23" t="n">
        <v>3327.87</v>
      </c>
      <c r="H1685" s="22" t="n">
        <v>252697</v>
      </c>
      <c r="I1685" s="23" t="n">
        <v>4142.57</v>
      </c>
      <c r="J1685" s="18" t="n">
        <v>-0.1967</v>
      </c>
      <c r="K1685" s="24" t="n">
        <v>99.2</v>
      </c>
      <c r="L1685" s="4" t="n">
        <v>34</v>
      </c>
      <c r="M1685" s="4" t="inlineStr">
        <is>
          <t>alta</t>
        </is>
      </c>
      <c r="N1685" s="4" t="inlineStr">
        <is>
          <t>por debajo de comparables</t>
        </is>
      </c>
      <c r="O1685" s="4" t="n"/>
    </row>
    <row r="1686">
      <c r="A1686" s="4" t="inlineStr">
        <is>
          <t>MD-0695</t>
        </is>
      </c>
      <c r="B1686" s="21" t="n">
        <v>46208</v>
      </c>
      <c r="C1686" s="4" t="inlineStr">
        <is>
          <t>Centro</t>
        </is>
      </c>
      <c r="D1686" s="4" t="n">
        <v>33</v>
      </c>
      <c r="E1686" s="4" t="inlineStr">
        <is>
          <t>reformado</t>
        </is>
      </c>
      <c r="F1686" s="22" t="n">
        <v>252000</v>
      </c>
      <c r="G1686" s="23" t="n">
        <v>7636.36</v>
      </c>
      <c r="H1686" s="22" t="n">
        <v>266538</v>
      </c>
      <c r="I1686" s="23" t="n">
        <v>8076.91</v>
      </c>
      <c r="J1686" s="18" t="n">
        <v>-0.0545</v>
      </c>
      <c r="K1686" s="24" t="n">
        <v>63.6</v>
      </c>
      <c r="L1686" s="4" t="n">
        <v>18</v>
      </c>
      <c r="M1686" s="4" t="inlineStr">
        <is>
          <t>media</t>
        </is>
      </c>
      <c r="N1686" s="4" t="inlineStr">
        <is>
          <t>en linea con comparables</t>
        </is>
      </c>
      <c r="O1686" s="4" t="n"/>
    </row>
    <row r="1687">
      <c r="A1687" s="4" t="inlineStr">
        <is>
          <t>MD-0412</t>
        </is>
      </c>
      <c r="B1687" s="21" t="n">
        <v>46208</v>
      </c>
      <c r="C1687" s="4" t="inlineStr">
        <is>
          <t>San Blas-Canillejas</t>
        </is>
      </c>
      <c r="D1687" s="4" t="n">
        <v>55</v>
      </c>
      <c r="E1687" s="4" t="inlineStr">
        <is>
          <t>a reformar</t>
        </is>
      </c>
      <c r="F1687" s="22" t="n">
        <v>167000</v>
      </c>
      <c r="G1687" s="23" t="n">
        <v>3036.36</v>
      </c>
      <c r="H1687" s="22" t="n">
        <v>163292</v>
      </c>
      <c r="I1687" s="23" t="n">
        <v>2968.94</v>
      </c>
      <c r="J1687" s="18" t="n">
        <v>0.0227</v>
      </c>
      <c r="K1687" s="24" t="n">
        <v>44.3</v>
      </c>
      <c r="L1687" s="4" t="n">
        <v>19</v>
      </c>
      <c r="M1687" s="4" t="inlineStr">
        <is>
          <t>alta</t>
        </is>
      </c>
      <c r="N1687" s="4" t="inlineStr">
        <is>
          <t>en linea con comparables</t>
        </is>
      </c>
      <c r="O1687" s="4" t="n"/>
    </row>
    <row r="1688">
      <c r="A1688" s="4" t="inlineStr">
        <is>
          <t>MD-1280</t>
        </is>
      </c>
      <c r="B1688" s="21" t="n">
        <v>46208</v>
      </c>
      <c r="C1688" s="4" t="inlineStr">
        <is>
          <t>Salamanca</t>
        </is>
      </c>
      <c r="D1688" s="4" t="n">
        <v>172</v>
      </c>
      <c r="E1688" s="4" t="inlineStr">
        <is>
          <t>buen estado</t>
        </is>
      </c>
      <c r="F1688" s="22" t="n">
        <v>1569000</v>
      </c>
      <c r="G1688" s="23" t="n">
        <v>9122.09</v>
      </c>
      <c r="H1688" s="22" t="n">
        <v>1245710</v>
      </c>
      <c r="I1688" s="23" t="n">
        <v>7242.5</v>
      </c>
      <c r="J1688" s="18" t="n">
        <v>0.2595</v>
      </c>
      <c r="K1688" s="24" t="n">
        <v>0</v>
      </c>
      <c r="L1688" s="4" t="n">
        <v>17</v>
      </c>
      <c r="M1688" s="4" t="inlineStr">
        <is>
          <t>alta</t>
        </is>
      </c>
      <c r="N1688" s="4" t="inlineStr">
        <is>
          <t>por encima de comparables</t>
        </is>
      </c>
      <c r="O1688" s="4" t="n"/>
    </row>
    <row r="1689">
      <c r="A1689" s="4" t="inlineStr">
        <is>
          <t>MD-1430</t>
        </is>
      </c>
      <c r="B1689" s="21" t="n">
        <v>46208</v>
      </c>
      <c r="C1689" s="4" t="inlineStr">
        <is>
          <t>Salamanca</t>
        </is>
      </c>
      <c r="D1689" s="4" t="n">
        <v>64</v>
      </c>
      <c r="E1689" s="4" t="inlineStr">
        <is>
          <t>obra nueva</t>
        </is>
      </c>
      <c r="F1689" s="22" t="n">
        <v>813000</v>
      </c>
      <c r="G1689" s="23" t="n">
        <v>12703.12</v>
      </c>
      <c r="H1689" s="22" t="n">
        <v>643674</v>
      </c>
      <c r="I1689" s="23" t="n">
        <v>10057.41</v>
      </c>
      <c r="J1689" s="18" t="n">
        <v>0.2631</v>
      </c>
      <c r="K1689" s="24" t="n">
        <v>0</v>
      </c>
      <c r="L1689" s="4" t="n">
        <v>21</v>
      </c>
      <c r="M1689" s="4" t="inlineStr">
        <is>
          <t>alta</t>
        </is>
      </c>
      <c r="N1689" s="4" t="inlineStr">
        <is>
          <t>por encima de comparables</t>
        </is>
      </c>
      <c r="O1689" s="4" t="n"/>
    </row>
    <row r="1690">
      <c r="A1690" s="4" t="inlineStr">
        <is>
          <t>MD-0591</t>
        </is>
      </c>
      <c r="B1690" s="21" t="n">
        <v>46208</v>
      </c>
      <c r="C1690" s="4" t="inlineStr">
        <is>
          <t>Fuencarral-El Pardo</t>
        </is>
      </c>
      <c r="D1690" s="4" t="n">
        <v>182</v>
      </c>
      <c r="E1690" s="4" t="inlineStr">
        <is>
          <t>buen estado</t>
        </is>
      </c>
      <c r="F1690" s="22" t="n">
        <v>1177000</v>
      </c>
      <c r="G1690" s="23" t="n">
        <v>6467.03</v>
      </c>
      <c r="H1690" s="22" t="n">
        <v>975354</v>
      </c>
      <c r="I1690" s="23" t="n">
        <v>5359.09</v>
      </c>
      <c r="J1690" s="18" t="n">
        <v>0.2067</v>
      </c>
      <c r="K1690" s="24" t="n">
        <v>0</v>
      </c>
      <c r="L1690" s="4" t="n">
        <v>19</v>
      </c>
      <c r="M1690" s="4" t="inlineStr">
        <is>
          <t>alta</t>
        </is>
      </c>
      <c r="N1690" s="4" t="inlineStr">
        <is>
          <t>por encima de comparables</t>
        </is>
      </c>
      <c r="O1690" s="4" t="n"/>
    </row>
    <row r="1691">
      <c r="A1691" s="4" t="inlineStr">
        <is>
          <t>MD-0873</t>
        </is>
      </c>
      <c r="B1691" s="21" t="n">
        <v>46208</v>
      </c>
      <c r="C1691" s="4" t="inlineStr">
        <is>
          <t>Chamartin</t>
        </is>
      </c>
      <c r="D1691" s="4" t="n">
        <v>87</v>
      </c>
      <c r="E1691" s="4" t="inlineStr">
        <is>
          <t>reformado</t>
        </is>
      </c>
      <c r="F1691" s="22" t="n">
        <v>644000</v>
      </c>
      <c r="G1691" s="23" t="n">
        <v>7402.3</v>
      </c>
      <c r="H1691" s="22" t="n">
        <v>607402</v>
      </c>
      <c r="I1691" s="23" t="n">
        <v>6981.63</v>
      </c>
      <c r="J1691" s="18" t="n">
        <v>0.0603</v>
      </c>
      <c r="K1691" s="24" t="n">
        <v>34.9</v>
      </c>
      <c r="L1691" s="4" t="n">
        <v>25</v>
      </c>
      <c r="M1691" s="4" t="inlineStr">
        <is>
          <t>alta</t>
        </is>
      </c>
      <c r="N1691" s="4" t="inlineStr">
        <is>
          <t>en linea con comparables</t>
        </is>
      </c>
      <c r="O1691" s="4" t="n"/>
    </row>
    <row r="1692">
      <c r="A1692" s="4" t="inlineStr">
        <is>
          <t>MD-1766</t>
        </is>
      </c>
      <c r="B1692" s="21" t="n">
        <v>46208</v>
      </c>
      <c r="C1692" s="4" t="inlineStr">
        <is>
          <t>Retiro</t>
        </is>
      </c>
      <c r="D1692" s="4" t="n">
        <v>55</v>
      </c>
      <c r="E1692" s="4" t="inlineStr">
        <is>
          <t>buen estado</t>
        </is>
      </c>
      <c r="F1692" s="22" t="n">
        <v>372000</v>
      </c>
      <c r="G1692" s="23" t="n">
        <v>6763.64</v>
      </c>
      <c r="H1692" s="22" t="n">
        <v>338425</v>
      </c>
      <c r="I1692" s="23" t="n">
        <v>6153.18</v>
      </c>
      <c r="J1692" s="18" t="n">
        <v>0.0992</v>
      </c>
      <c r="K1692" s="24" t="n">
        <v>25.2</v>
      </c>
      <c r="L1692" s="4" t="n">
        <v>14</v>
      </c>
      <c r="M1692" s="4" t="inlineStr">
        <is>
          <t>media</t>
        </is>
      </c>
      <c r="N1692" s="4" t="inlineStr">
        <is>
          <t>en linea con comparables</t>
        </is>
      </c>
      <c r="O1692" s="4" t="n"/>
    </row>
    <row r="1693">
      <c r="A1693" s="4" t="inlineStr">
        <is>
          <t>MD-1112</t>
        </is>
      </c>
      <c r="B1693" s="21" t="n">
        <v>46209</v>
      </c>
      <c r="C1693" s="4" t="inlineStr">
        <is>
          <t>Carabanchel</t>
        </is>
      </c>
      <c r="D1693" s="4" t="n">
        <v>158</v>
      </c>
      <c r="E1693" s="4" t="inlineStr">
        <is>
          <t>reformado</t>
        </is>
      </c>
      <c r="F1693" s="22" t="n">
        <v>400000</v>
      </c>
      <c r="G1693" s="23" t="n">
        <v>2531.65</v>
      </c>
      <c r="H1693" s="22" t="n">
        <v>543995</v>
      </c>
      <c r="I1693" s="23" t="n">
        <v>3443.01</v>
      </c>
      <c r="J1693" s="18" t="n">
        <v>-0.2647</v>
      </c>
      <c r="K1693" s="24" t="n">
        <v>100</v>
      </c>
      <c r="L1693" s="4" t="n">
        <v>8</v>
      </c>
      <c r="M1693" s="4" t="inlineStr">
        <is>
          <t>media</t>
        </is>
      </c>
      <c r="N1693" s="4" t="inlineStr">
        <is>
          <t>por debajo de comparables</t>
        </is>
      </c>
      <c r="O1693" s="4" t="n"/>
    </row>
    <row r="1694">
      <c r="A1694" s="4" t="inlineStr">
        <is>
          <t>MD-1013</t>
        </is>
      </c>
      <c r="B1694" s="21" t="n">
        <v>46209</v>
      </c>
      <c r="C1694" s="4" t="inlineStr">
        <is>
          <t>Vicalvaro</t>
        </is>
      </c>
      <c r="D1694" s="4" t="n">
        <v>177</v>
      </c>
      <c r="E1694" s="4" t="inlineStr">
        <is>
          <t>buen estado</t>
        </is>
      </c>
      <c r="F1694" s="22" t="n">
        <v>633000</v>
      </c>
      <c r="G1694" s="23" t="n">
        <v>3576.27</v>
      </c>
      <c r="H1694" s="22" t="n">
        <v>655462</v>
      </c>
      <c r="I1694" s="23" t="n">
        <v>3703.18</v>
      </c>
      <c r="J1694" s="18" t="n">
        <v>-0.0343</v>
      </c>
      <c r="K1694" s="24" t="n">
        <v>58.6</v>
      </c>
      <c r="L1694" s="4" t="n">
        <v>15</v>
      </c>
      <c r="M1694" s="4" t="inlineStr">
        <is>
          <t>alta</t>
        </is>
      </c>
      <c r="N1694" s="4" t="inlineStr">
        <is>
          <t>en linea con comparables</t>
        </is>
      </c>
      <c r="O1694" s="4" t="n"/>
    </row>
    <row r="1695">
      <c r="A1695" s="4" t="inlineStr">
        <is>
          <t>MD-1888</t>
        </is>
      </c>
      <c r="B1695" s="21" t="n">
        <v>46209</v>
      </c>
      <c r="C1695" s="4" t="inlineStr">
        <is>
          <t>Puente de Vallecas</t>
        </is>
      </c>
      <c r="D1695" s="4" t="n">
        <v>87</v>
      </c>
      <c r="E1695" s="4" t="inlineStr">
        <is>
          <t>reformado</t>
        </is>
      </c>
      <c r="F1695" s="22" t="n">
        <v>294000</v>
      </c>
      <c r="G1695" s="23" t="n">
        <v>3379.31</v>
      </c>
      <c r="H1695" s="22" t="n">
        <v>252060</v>
      </c>
      <c r="I1695" s="23" t="n">
        <v>2897.24</v>
      </c>
      <c r="J1695" s="18" t="n">
        <v>0.1664</v>
      </c>
      <c r="K1695" s="24" t="n">
        <v>8.4</v>
      </c>
      <c r="L1695" s="4" t="n">
        <v>37</v>
      </c>
      <c r="M1695" s="4" t="inlineStr">
        <is>
          <t>alta</t>
        </is>
      </c>
      <c r="N1695" s="4" t="inlineStr">
        <is>
          <t>por encima de comparables</t>
        </is>
      </c>
      <c r="O1695" s="4" t="n"/>
    </row>
    <row r="1696">
      <c r="A1696" s="4" t="inlineStr">
        <is>
          <t>MD-0617</t>
        </is>
      </c>
      <c r="B1696" s="21" t="n">
        <v>46209</v>
      </c>
      <c r="C1696" s="4" t="inlineStr">
        <is>
          <t>Latina</t>
        </is>
      </c>
      <c r="D1696" s="4" t="n">
        <v>56</v>
      </c>
      <c r="E1696" s="4" t="inlineStr">
        <is>
          <t>buen estado</t>
        </is>
      </c>
      <c r="F1696" s="22" t="n">
        <v>162000</v>
      </c>
      <c r="G1696" s="23" t="n">
        <v>2892.86</v>
      </c>
      <c r="H1696" s="22" t="n">
        <v>203259</v>
      </c>
      <c r="I1696" s="23" t="n">
        <v>3629.63</v>
      </c>
      <c r="J1696" s="18" t="n">
        <v>-0.203</v>
      </c>
      <c r="K1696" s="24" t="n">
        <v>100</v>
      </c>
      <c r="L1696" s="4" t="n">
        <v>39</v>
      </c>
      <c r="M1696" s="4" t="inlineStr">
        <is>
          <t>alta</t>
        </is>
      </c>
      <c r="N1696" s="4" t="inlineStr">
        <is>
          <t>por debajo de comparables</t>
        </is>
      </c>
      <c r="O1696" s="4" t="n"/>
    </row>
    <row r="1697">
      <c r="A1697" s="4" t="inlineStr">
        <is>
          <t>MD-0471</t>
        </is>
      </c>
      <c r="B1697" s="21" t="n">
        <v>46209</v>
      </c>
      <c r="C1697" s="4" t="inlineStr">
        <is>
          <t>Tetuan</t>
        </is>
      </c>
      <c r="D1697" s="4" t="n">
        <v>138</v>
      </c>
      <c r="E1697" s="4" t="inlineStr">
        <is>
          <t>obra nueva</t>
        </is>
      </c>
      <c r="F1697" s="22" t="n">
        <v>944000</v>
      </c>
      <c r="G1697" s="23" t="n">
        <v>6840.58</v>
      </c>
      <c r="H1697" s="22" t="n">
        <v>807186</v>
      </c>
      <c r="I1697" s="23" t="n">
        <v>5849.17</v>
      </c>
      <c r="J1697" s="18" t="n">
        <v>0.1695</v>
      </c>
      <c r="K1697" s="24" t="n">
        <v>7.6</v>
      </c>
      <c r="L1697" s="4" t="n">
        <v>6</v>
      </c>
      <c r="M1697" s="4" t="inlineStr">
        <is>
          <t>baja</t>
        </is>
      </c>
      <c r="N1697" s="4" t="inlineStr">
        <is>
          <t>por encima de comparables</t>
        </is>
      </c>
      <c r="O1697" s="4" t="n"/>
    </row>
    <row r="1698">
      <c r="A1698" s="4" t="inlineStr">
        <is>
          <t>MD-1279</t>
        </is>
      </c>
      <c r="B1698" s="21" t="n">
        <v>46209</v>
      </c>
      <c r="C1698" s="4" t="inlineStr">
        <is>
          <t>Salamanca</t>
        </is>
      </c>
      <c r="D1698" s="4" t="n">
        <v>97</v>
      </c>
      <c r="E1698" s="4" t="inlineStr">
        <is>
          <t>a reformar</t>
        </is>
      </c>
      <c r="F1698" s="22" t="n">
        <v>651000</v>
      </c>
      <c r="G1698" s="23" t="n">
        <v>6711.34</v>
      </c>
      <c r="H1698" s="22" t="n">
        <v>778822</v>
      </c>
      <c r="I1698" s="23" t="n">
        <v>8029.09</v>
      </c>
      <c r="J1698" s="18" t="n">
        <v>-0.1641</v>
      </c>
      <c r="K1698" s="24" t="n">
        <v>91</v>
      </c>
      <c r="L1698" s="4" t="n">
        <v>17</v>
      </c>
      <c r="M1698" s="4" t="inlineStr">
        <is>
          <t>media</t>
        </is>
      </c>
      <c r="N1698" s="4" t="inlineStr">
        <is>
          <t>por debajo de comparables</t>
        </is>
      </c>
      <c r="O1698" s="4" t="n"/>
    </row>
    <row r="1699">
      <c r="A1699" s="4" t="inlineStr">
        <is>
          <t>MD-0701</t>
        </is>
      </c>
      <c r="B1699" s="21" t="n">
        <v>46209</v>
      </c>
      <c r="C1699" s="4" t="inlineStr">
        <is>
          <t>San Blas-Canillejas</t>
        </is>
      </c>
      <c r="D1699" s="4" t="n">
        <v>60</v>
      </c>
      <c r="E1699" s="4" t="inlineStr">
        <is>
          <t>buen estado</t>
        </is>
      </c>
      <c r="F1699" s="22" t="n">
        <v>280000</v>
      </c>
      <c r="G1699" s="23" t="n">
        <v>4666.67</v>
      </c>
      <c r="H1699" s="22" t="n">
        <v>216000</v>
      </c>
      <c r="I1699" s="23" t="n">
        <v>3600</v>
      </c>
      <c r="J1699" s="18" t="n">
        <v>0.2963</v>
      </c>
      <c r="K1699" s="24" t="n">
        <v>0</v>
      </c>
      <c r="L1699" s="4" t="n">
        <v>21</v>
      </c>
      <c r="M1699" s="4" t="inlineStr">
        <is>
          <t>alta</t>
        </is>
      </c>
      <c r="N1699" s="4" t="inlineStr">
        <is>
          <t>por encima de comparables</t>
        </is>
      </c>
      <c r="O1699" s="4" t="n"/>
    </row>
    <row r="1700">
      <c r="A1700" s="4" t="inlineStr">
        <is>
          <t>MD-1852</t>
        </is>
      </c>
      <c r="B1700" s="21" t="n">
        <v>46210</v>
      </c>
      <c r="C1700" s="4" t="inlineStr">
        <is>
          <t>Moratalaz</t>
        </is>
      </c>
      <c r="D1700" s="4" t="n">
        <v>157</v>
      </c>
      <c r="E1700" s="4" t="inlineStr">
        <is>
          <t>buen estado</t>
        </is>
      </c>
      <c r="F1700" s="22" t="n">
        <v>544000</v>
      </c>
      <c r="G1700" s="23" t="n">
        <v>3464.97</v>
      </c>
      <c r="H1700" s="22" t="n"/>
      <c r="I1700" s="23" t="n"/>
      <c r="J1700" s="18" t="n"/>
      <c r="K1700" s="24" t="n"/>
      <c r="L1700" s="4" t="n">
        <v>1</v>
      </c>
      <c r="M1700" s="4" t="inlineStr">
        <is>
          <t>sin muestra</t>
        </is>
      </c>
      <c r="N1700" s="4" t="inlineStr">
        <is>
          <t>no valorable</t>
        </is>
      </c>
      <c r="O1700" s="4" t="inlineStr">
        <is>
          <t>segmento con pocas operaciones comparables</t>
        </is>
      </c>
    </row>
    <row r="1701">
      <c r="A1701" s="4" t="inlineStr">
        <is>
          <t>MD-0511</t>
        </is>
      </c>
      <c r="B1701" s="21" t="n">
        <v>46210</v>
      </c>
      <c r="C1701" s="4" t="inlineStr">
        <is>
          <t>Carabanchel</t>
        </is>
      </c>
      <c r="D1701" s="4" t="n">
        <v>58</v>
      </c>
      <c r="E1701" s="4" t="inlineStr">
        <is>
          <t>obra nueva</t>
        </is>
      </c>
      <c r="F1701" s="22" t="n">
        <v>182000</v>
      </c>
      <c r="G1701" s="23" t="n">
        <v>3137.93</v>
      </c>
      <c r="H1701" s="22" t="n">
        <v>216309</v>
      </c>
      <c r="I1701" s="23" t="n">
        <v>3729.46</v>
      </c>
      <c r="J1701" s="18" t="n">
        <v>-0.1586</v>
      </c>
      <c r="K1701" s="24" t="n">
        <v>89.7</v>
      </c>
      <c r="L1701" s="4" t="n">
        <v>44</v>
      </c>
      <c r="M1701" s="4" t="inlineStr">
        <is>
          <t>alta</t>
        </is>
      </c>
      <c r="N1701" s="4" t="inlineStr">
        <is>
          <t>por debajo de comparables</t>
        </is>
      </c>
      <c r="O1701" s="4" t="n"/>
    </row>
    <row r="1702">
      <c r="A1702" s="4" t="inlineStr">
        <is>
          <t>MD-0325</t>
        </is>
      </c>
      <c r="B1702" s="21" t="n">
        <v>46211</v>
      </c>
      <c r="C1702" s="4" t="inlineStr">
        <is>
          <t>Carabanchel</t>
        </is>
      </c>
      <c r="D1702" s="4" t="n">
        <v>63</v>
      </c>
      <c r="E1702" s="4" t="inlineStr">
        <is>
          <t>a reformar</t>
        </is>
      </c>
      <c r="F1702" s="22" t="n">
        <v>130000</v>
      </c>
      <c r="G1702" s="23" t="n">
        <v>2063.49</v>
      </c>
      <c r="H1702" s="22" t="n">
        <v>177983</v>
      </c>
      <c r="I1702" s="23" t="n">
        <v>2825.13</v>
      </c>
      <c r="J1702" s="18" t="n">
        <v>-0.2696</v>
      </c>
      <c r="K1702" s="24" t="n">
        <v>100</v>
      </c>
      <c r="L1702" s="4" t="n">
        <v>48</v>
      </c>
      <c r="M1702" s="4" t="inlineStr">
        <is>
          <t>alta</t>
        </is>
      </c>
      <c r="N1702" s="4" t="inlineStr">
        <is>
          <t>por debajo de comparables</t>
        </is>
      </c>
      <c r="O1702" s="4" t="n"/>
    </row>
    <row r="1703">
      <c r="A1703" s="4" t="inlineStr">
        <is>
          <t>MD-0673</t>
        </is>
      </c>
      <c r="B1703" s="21" t="n">
        <v>46211</v>
      </c>
      <c r="C1703" s="4" t="inlineStr">
        <is>
          <t>Fuencarral-El Pardo</t>
        </is>
      </c>
      <c r="D1703" s="4" t="n">
        <v>164</v>
      </c>
      <c r="E1703" s="4" t="inlineStr">
        <is>
          <t>obra nueva</t>
        </is>
      </c>
      <c r="F1703" s="22" t="n">
        <v>1168000</v>
      </c>
      <c r="G1703" s="23" t="n">
        <v>7121.95</v>
      </c>
      <c r="H1703" s="22" t="n">
        <v>985664</v>
      </c>
      <c r="I1703" s="23" t="n">
        <v>6010.15</v>
      </c>
      <c r="J1703" s="18" t="n">
        <v>0.185</v>
      </c>
      <c r="K1703" s="24" t="n">
        <v>3.8</v>
      </c>
      <c r="L1703" s="4" t="n">
        <v>27</v>
      </c>
      <c r="M1703" s="4" t="inlineStr">
        <is>
          <t>media</t>
        </is>
      </c>
      <c r="N1703" s="4" t="inlineStr">
        <is>
          <t>por encima de comparables</t>
        </is>
      </c>
      <c r="O1703" s="4" t="n"/>
    </row>
    <row r="1704">
      <c r="A1704" s="4" t="inlineStr">
        <is>
          <t>MD-1560</t>
        </is>
      </c>
      <c r="B1704" s="21" t="n">
        <v>46211</v>
      </c>
      <c r="C1704" s="4" t="inlineStr">
        <is>
          <t>Hortaleza</t>
        </is>
      </c>
      <c r="D1704" s="4" t="n">
        <v>77</v>
      </c>
      <c r="E1704" s="4" t="inlineStr">
        <is>
          <t>a reformar</t>
        </is>
      </c>
      <c r="F1704" s="22" t="n">
        <v>223000</v>
      </c>
      <c r="G1704" s="23" t="n">
        <v>2896.1</v>
      </c>
      <c r="H1704" s="22" t="n">
        <v>322748</v>
      </c>
      <c r="I1704" s="23" t="n">
        <v>4191.53</v>
      </c>
      <c r="J1704" s="18" t="n">
        <v>-0.3091</v>
      </c>
      <c r="K1704" s="24" t="n">
        <v>100</v>
      </c>
      <c r="L1704" s="4" t="n">
        <v>30</v>
      </c>
      <c r="M1704" s="4" t="inlineStr">
        <is>
          <t>alta</t>
        </is>
      </c>
      <c r="N1704" s="4" t="inlineStr">
        <is>
          <t>por debajo de comparables</t>
        </is>
      </c>
      <c r="O1704" s="4" t="n"/>
    </row>
    <row r="1705">
      <c r="A1705" s="4" t="inlineStr">
        <is>
          <t>MD-1611</t>
        </is>
      </c>
      <c r="B1705" s="21" t="n">
        <v>46211</v>
      </c>
      <c r="C1705" s="4" t="inlineStr">
        <is>
          <t>Centro</t>
        </is>
      </c>
      <c r="D1705" s="4" t="n">
        <v>38</v>
      </c>
      <c r="E1705" s="4" t="inlineStr">
        <is>
          <t>buen estado</t>
        </is>
      </c>
      <c r="F1705" s="22" t="n">
        <v>260000</v>
      </c>
      <c r="G1705" s="23" t="n">
        <v>6842.11</v>
      </c>
      <c r="H1705" s="22" t="n">
        <v>252069</v>
      </c>
      <c r="I1705" s="23" t="n">
        <v>6633.39</v>
      </c>
      <c r="J1705" s="18" t="n">
        <v>0.0315</v>
      </c>
      <c r="K1705" s="24" t="n">
        <v>42.1</v>
      </c>
      <c r="L1705" s="4" t="n">
        <v>21</v>
      </c>
      <c r="M1705" s="4" t="inlineStr">
        <is>
          <t>alta</t>
        </is>
      </c>
      <c r="N1705" s="4" t="inlineStr">
        <is>
          <t>en linea con comparables</t>
        </is>
      </c>
      <c r="O1705" s="4" t="n"/>
    </row>
    <row r="1706">
      <c r="A1706" s="4" t="inlineStr">
        <is>
          <t>MD-1241</t>
        </is>
      </c>
      <c r="B1706" s="21" t="n">
        <v>46211</v>
      </c>
      <c r="C1706" s="4" t="inlineStr">
        <is>
          <t>Puente de Vallecas</t>
        </is>
      </c>
      <c r="D1706" s="4" t="n">
        <v>145</v>
      </c>
      <c r="E1706" s="4" t="inlineStr">
        <is>
          <t>a reformar</t>
        </is>
      </c>
      <c r="F1706" s="22" t="n">
        <v>351000</v>
      </c>
      <c r="G1706" s="23" t="n">
        <v>2420.69</v>
      </c>
      <c r="H1706" s="22" t="n">
        <v>351455</v>
      </c>
      <c r="I1706" s="23" t="n">
        <v>2423.83</v>
      </c>
      <c r="J1706" s="18" t="n">
        <v>-0.0013</v>
      </c>
      <c r="K1706" s="24" t="n">
        <v>50.3</v>
      </c>
      <c r="L1706" s="4" t="n">
        <v>5</v>
      </c>
      <c r="M1706" s="4" t="inlineStr">
        <is>
          <t>baja</t>
        </is>
      </c>
      <c r="N1706" s="4" t="inlineStr">
        <is>
          <t>en linea con comparables</t>
        </is>
      </c>
      <c r="O1706" s="4" t="n"/>
    </row>
    <row r="1707">
      <c r="A1707" s="4" t="inlineStr">
        <is>
          <t>MD-1525</t>
        </is>
      </c>
      <c r="B1707" s="21" t="n">
        <v>46211</v>
      </c>
      <c r="C1707" s="4" t="inlineStr">
        <is>
          <t>Ciudad Lineal</t>
        </is>
      </c>
      <c r="D1707" s="4" t="n">
        <v>54</v>
      </c>
      <c r="E1707" s="4" t="inlineStr">
        <is>
          <t>buen estado</t>
        </is>
      </c>
      <c r="F1707" s="22" t="n">
        <v>228000</v>
      </c>
      <c r="G1707" s="23" t="n">
        <v>4222.22</v>
      </c>
      <c r="H1707" s="22" t="n">
        <v>253785</v>
      </c>
      <c r="I1707" s="23" t="n">
        <v>4699.72</v>
      </c>
      <c r="J1707" s="18" t="n">
        <v>-0.1016</v>
      </c>
      <c r="K1707" s="24" t="n">
        <v>75.40000000000001</v>
      </c>
      <c r="L1707" s="4" t="n">
        <v>38</v>
      </c>
      <c r="M1707" s="4" t="inlineStr">
        <is>
          <t>alta</t>
        </is>
      </c>
      <c r="N1707" s="4" t="inlineStr">
        <is>
          <t>por debajo de comparables</t>
        </is>
      </c>
      <c r="O1707" s="4" t="n"/>
    </row>
    <row r="1708">
      <c r="A1708" s="4" t="inlineStr">
        <is>
          <t>MD-0580</t>
        </is>
      </c>
      <c r="B1708" s="21" t="n">
        <v>46212</v>
      </c>
      <c r="C1708" s="4" t="inlineStr">
        <is>
          <t>San Blas-Canillejas</t>
        </is>
      </c>
      <c r="D1708" s="4" t="n">
        <v>45</v>
      </c>
      <c r="E1708" s="4" t="inlineStr">
        <is>
          <t>a reformar</t>
        </is>
      </c>
      <c r="F1708" s="22" t="n">
        <v>126000</v>
      </c>
      <c r="G1708" s="23" t="n">
        <v>2800</v>
      </c>
      <c r="H1708" s="22" t="n">
        <v>130720</v>
      </c>
      <c r="I1708" s="23" t="n">
        <v>2904.89</v>
      </c>
      <c r="J1708" s="18" t="n">
        <v>-0.0361</v>
      </c>
      <c r="K1708" s="24" t="n">
        <v>59</v>
      </c>
      <c r="L1708" s="4" t="n">
        <v>15</v>
      </c>
      <c r="M1708" s="4" t="inlineStr">
        <is>
          <t>alta</t>
        </is>
      </c>
      <c r="N1708" s="4" t="inlineStr">
        <is>
          <t>en linea con comparables</t>
        </is>
      </c>
      <c r="O1708" s="4" t="n"/>
    </row>
    <row r="1709">
      <c r="A1709" s="4" t="inlineStr">
        <is>
          <t>MD-0904</t>
        </is>
      </c>
      <c r="B1709" s="21" t="n">
        <v>46212</v>
      </c>
      <c r="C1709" s="4" t="inlineStr">
        <is>
          <t>Ciudad Lineal</t>
        </is>
      </c>
      <c r="D1709" s="4" t="n">
        <v>60</v>
      </c>
      <c r="E1709" s="4" t="inlineStr">
        <is>
          <t>reformado</t>
        </is>
      </c>
      <c r="F1709" s="22" t="n">
        <v>321000</v>
      </c>
      <c r="G1709" s="23" t="n">
        <v>5350</v>
      </c>
      <c r="H1709" s="22" t="n">
        <v>322883</v>
      </c>
      <c r="I1709" s="23" t="n">
        <v>5381.38</v>
      </c>
      <c r="J1709" s="18" t="n">
        <v>-0.0058</v>
      </c>
      <c r="K1709" s="24" t="n">
        <v>51.5</v>
      </c>
      <c r="L1709" s="4" t="n">
        <v>36</v>
      </c>
      <c r="M1709" s="4" t="inlineStr">
        <is>
          <t>alta</t>
        </is>
      </c>
      <c r="N1709" s="4" t="inlineStr">
        <is>
          <t>en linea con comparables</t>
        </is>
      </c>
      <c r="O1709" s="4" t="n"/>
    </row>
    <row r="1710">
      <c r="A1710" s="4" t="inlineStr">
        <is>
          <t>MD-1874</t>
        </is>
      </c>
      <c r="B1710" s="21" t="n">
        <v>46212</v>
      </c>
      <c r="C1710" s="4" t="inlineStr">
        <is>
          <t>Moratalaz</t>
        </is>
      </c>
      <c r="D1710" s="4" t="n">
        <v>42</v>
      </c>
      <c r="E1710" s="4" t="inlineStr">
        <is>
          <t>buen estado</t>
        </is>
      </c>
      <c r="F1710" s="22" t="n">
        <v>180000</v>
      </c>
      <c r="G1710" s="23" t="n">
        <v>4285.71</v>
      </c>
      <c r="H1710" s="22" t="n"/>
      <c r="I1710" s="23" t="n"/>
      <c r="J1710" s="18" t="n"/>
      <c r="K1710" s="24" t="n"/>
      <c r="L1710" s="4" t="n">
        <v>2</v>
      </c>
      <c r="M1710" s="4" t="inlineStr">
        <is>
          <t>sin muestra</t>
        </is>
      </c>
      <c r="N1710" s="4" t="inlineStr">
        <is>
          <t>no valorable</t>
        </is>
      </c>
      <c r="O1710" s="4" t="inlineStr">
        <is>
          <t>segmento con pocas operaciones comparables</t>
        </is>
      </c>
    </row>
    <row r="1711">
      <c r="A1711" s="4" t="inlineStr">
        <is>
          <t>MD-0259</t>
        </is>
      </c>
      <c r="B1711" s="21" t="n">
        <v>46212</v>
      </c>
      <c r="C1711" s="4" t="inlineStr">
        <is>
          <t>Centro</t>
        </is>
      </c>
      <c r="D1711" s="4" t="n">
        <v>119</v>
      </c>
      <c r="E1711" s="4" t="inlineStr">
        <is>
          <t>buen estado</t>
        </is>
      </c>
      <c r="F1711" s="22" t="n">
        <v>980000</v>
      </c>
      <c r="G1711" s="23" t="n">
        <v>8235.290000000001</v>
      </c>
      <c r="H1711" s="22" t="n">
        <v>845762</v>
      </c>
      <c r="I1711" s="23" t="n">
        <v>7107.24</v>
      </c>
      <c r="J1711" s="18" t="n">
        <v>0.1587</v>
      </c>
      <c r="K1711" s="24" t="n">
        <v>10.3</v>
      </c>
      <c r="L1711" s="4" t="n">
        <v>21</v>
      </c>
      <c r="M1711" s="4" t="inlineStr">
        <is>
          <t>alta</t>
        </is>
      </c>
      <c r="N1711" s="4" t="inlineStr">
        <is>
          <t>por encima de comparables</t>
        </is>
      </c>
      <c r="O1711" s="4" t="n"/>
    </row>
    <row r="1712">
      <c r="A1712" s="4" t="inlineStr">
        <is>
          <t>MD-1651</t>
        </is>
      </c>
      <c r="B1712" s="21" t="n">
        <v>46212</v>
      </c>
      <c r="C1712" s="4" t="inlineStr">
        <is>
          <t>San Blas-Canillejas</t>
        </is>
      </c>
      <c r="D1712" s="4" t="n">
        <v>32</v>
      </c>
      <c r="E1712" s="4" t="inlineStr">
        <is>
          <t>buen estado</t>
        </is>
      </c>
      <c r="F1712" s="22" t="n">
        <v>106000</v>
      </c>
      <c r="G1712" s="23" t="n">
        <v>3312.5</v>
      </c>
      <c r="H1712" s="22" t="n"/>
      <c r="I1712" s="23" t="n"/>
      <c r="J1712" s="18" t="n"/>
      <c r="K1712" s="24" t="n"/>
      <c r="L1712" s="4" t="n">
        <v>1</v>
      </c>
      <c r="M1712" s="4" t="inlineStr">
        <is>
          <t>sin muestra</t>
        </is>
      </c>
      <c r="N1712" s="4" t="inlineStr">
        <is>
          <t>no valorable</t>
        </is>
      </c>
      <c r="O1712" s="4" t="inlineStr">
        <is>
          <t>segmento con pocas operaciones comparables</t>
        </is>
      </c>
    </row>
    <row r="1713">
      <c r="A1713" s="4" t="inlineStr">
        <is>
          <t>MD-1569</t>
        </is>
      </c>
      <c r="B1713" s="21" t="n">
        <v>46212</v>
      </c>
      <c r="C1713" s="4" t="inlineStr">
        <is>
          <t>Carabanchel</t>
        </is>
      </c>
      <c r="D1713" s="4" t="n">
        <v>53</v>
      </c>
      <c r="E1713" s="4" t="inlineStr">
        <is>
          <t>reformado</t>
        </is>
      </c>
      <c r="F1713" s="22" t="n">
        <v>190000</v>
      </c>
      <c r="G1713" s="23" t="n">
        <v>3584.91</v>
      </c>
      <c r="H1713" s="22" t="n">
        <v>173844</v>
      </c>
      <c r="I1713" s="23" t="n">
        <v>3280.07</v>
      </c>
      <c r="J1713" s="18" t="n">
        <v>0.0929</v>
      </c>
      <c r="K1713" s="24" t="n">
        <v>26.8</v>
      </c>
      <c r="L1713" s="4" t="n">
        <v>41</v>
      </c>
      <c r="M1713" s="4" t="inlineStr">
        <is>
          <t>alta</t>
        </is>
      </c>
      <c r="N1713" s="4" t="inlineStr">
        <is>
          <t>en linea con comparables</t>
        </is>
      </c>
      <c r="O1713" s="4" t="n"/>
    </row>
    <row r="1714">
      <c r="A1714" s="4" t="inlineStr">
        <is>
          <t>MD-1663</t>
        </is>
      </c>
      <c r="B1714" s="21" t="n">
        <v>46213</v>
      </c>
      <c r="C1714" s="4" t="inlineStr">
        <is>
          <t>Ciudad Lineal</t>
        </is>
      </c>
      <c r="D1714" s="4" t="n">
        <v>54</v>
      </c>
      <c r="E1714" s="4" t="inlineStr">
        <is>
          <t>buen estado</t>
        </is>
      </c>
      <c r="F1714" s="22" t="n">
        <v>206000</v>
      </c>
      <c r="G1714" s="23" t="n">
        <v>3814.81</v>
      </c>
      <c r="H1714" s="22" t="n">
        <v>200035</v>
      </c>
      <c r="I1714" s="23" t="n">
        <v>3704.35</v>
      </c>
      <c r="J1714" s="18" t="n">
        <v>0.0298</v>
      </c>
      <c r="K1714" s="24" t="n">
        <v>42.5</v>
      </c>
      <c r="L1714" s="4" t="n">
        <v>40</v>
      </c>
      <c r="M1714" s="4" t="inlineStr">
        <is>
          <t>alta</t>
        </is>
      </c>
      <c r="N1714" s="4" t="inlineStr">
        <is>
          <t>en linea con comparables</t>
        </is>
      </c>
      <c r="O1714" s="4" t="n"/>
    </row>
    <row r="1715">
      <c r="A1715" s="4" t="inlineStr">
        <is>
          <t>MD-1731</t>
        </is>
      </c>
      <c r="B1715" s="21" t="n">
        <v>46213</v>
      </c>
      <c r="C1715" s="4" t="inlineStr">
        <is>
          <t>Fuencarral-El Pardo</t>
        </is>
      </c>
      <c r="D1715" s="4" t="n">
        <v>100</v>
      </c>
      <c r="E1715" s="4" t="inlineStr">
        <is>
          <t>reformado</t>
        </is>
      </c>
      <c r="F1715" s="22" t="n">
        <v>571000</v>
      </c>
      <c r="G1715" s="23" t="n">
        <v>5710</v>
      </c>
      <c r="H1715" s="22" t="n">
        <v>620908</v>
      </c>
      <c r="I1715" s="23" t="n">
        <v>6209.08</v>
      </c>
      <c r="J1715" s="18" t="n">
        <v>-0.0804</v>
      </c>
      <c r="K1715" s="24" t="n">
        <v>70.09999999999999</v>
      </c>
      <c r="L1715" s="4" t="n">
        <v>33</v>
      </c>
      <c r="M1715" s="4" t="inlineStr">
        <is>
          <t>alta</t>
        </is>
      </c>
      <c r="N1715" s="4" t="inlineStr">
        <is>
          <t>en linea con comparables</t>
        </is>
      </c>
      <c r="O1715" s="4" t="n"/>
    </row>
    <row r="1716">
      <c r="A1716" s="4" t="inlineStr">
        <is>
          <t>MD-0463</t>
        </is>
      </c>
      <c r="B1716" s="21" t="n">
        <v>46213</v>
      </c>
      <c r="C1716" s="4" t="inlineStr">
        <is>
          <t>Centro</t>
        </is>
      </c>
      <c r="D1716" s="4" t="n">
        <v>83</v>
      </c>
      <c r="E1716" s="4" t="inlineStr">
        <is>
          <t>a reformar</t>
        </is>
      </c>
      <c r="F1716" s="22" t="n">
        <v>376000</v>
      </c>
      <c r="G1716" s="23" t="n">
        <v>4530.12</v>
      </c>
      <c r="H1716" s="22" t="n">
        <v>484502</v>
      </c>
      <c r="I1716" s="23" t="n">
        <v>5837.37</v>
      </c>
      <c r="J1716" s="18" t="n">
        <v>-0.2239</v>
      </c>
      <c r="K1716" s="24" t="n">
        <v>100</v>
      </c>
      <c r="L1716" s="4" t="n">
        <v>26</v>
      </c>
      <c r="M1716" s="4" t="inlineStr">
        <is>
          <t>media</t>
        </is>
      </c>
      <c r="N1716" s="4" t="inlineStr">
        <is>
          <t>por debajo de comparables</t>
        </is>
      </c>
      <c r="O1716" s="4" t="n"/>
    </row>
    <row r="1717">
      <c r="A1717" s="4" t="inlineStr">
        <is>
          <t>MD-0664</t>
        </is>
      </c>
      <c r="B1717" s="21" t="n">
        <v>46213</v>
      </c>
      <c r="C1717" s="4" t="inlineStr">
        <is>
          <t>Latina</t>
        </is>
      </c>
      <c r="D1717" s="4" t="n">
        <v>52</v>
      </c>
      <c r="E1717" s="4" t="inlineStr">
        <is>
          <t>buen estado</t>
        </is>
      </c>
      <c r="F1717" s="22" t="n">
        <v>99000</v>
      </c>
      <c r="G1717" s="23" t="n">
        <v>1903.85</v>
      </c>
      <c r="H1717" s="22" t="n">
        <v>146053</v>
      </c>
      <c r="I1717" s="23" t="n">
        <v>2808.7</v>
      </c>
      <c r="J1717" s="18" t="n">
        <v>-0.3222</v>
      </c>
      <c r="K1717" s="24" t="n">
        <v>100</v>
      </c>
      <c r="L1717" s="4" t="n">
        <v>39</v>
      </c>
      <c r="M1717" s="4" t="inlineStr">
        <is>
          <t>alta</t>
        </is>
      </c>
      <c r="N1717" s="4" t="inlineStr">
        <is>
          <t>por debajo de comparables</t>
        </is>
      </c>
      <c r="O1717" s="4" t="n"/>
    </row>
    <row r="1718">
      <c r="A1718" s="4" t="inlineStr">
        <is>
          <t>MD-0063</t>
        </is>
      </c>
      <c r="B1718" s="21" t="n">
        <v>46213</v>
      </c>
      <c r="C1718" s="4" t="inlineStr">
        <is>
          <t>Usera</t>
        </is>
      </c>
      <c r="D1718" s="4" t="n">
        <v>53</v>
      </c>
      <c r="E1718" s="4" t="inlineStr">
        <is>
          <t>reformado</t>
        </is>
      </c>
      <c r="F1718" s="22" t="n">
        <v>178000</v>
      </c>
      <c r="G1718" s="23" t="n">
        <v>3358.49</v>
      </c>
      <c r="H1718" s="22" t="n">
        <v>150772</v>
      </c>
      <c r="I1718" s="23" t="n">
        <v>2844.75</v>
      </c>
      <c r="J1718" s="18" t="n">
        <v>0.1806</v>
      </c>
      <c r="K1718" s="24" t="n">
        <v>4.9</v>
      </c>
      <c r="L1718" s="4" t="n">
        <v>5</v>
      </c>
      <c r="M1718" s="4" t="inlineStr">
        <is>
          <t>baja</t>
        </is>
      </c>
      <c r="N1718" s="4" t="inlineStr">
        <is>
          <t>por encima de comparables</t>
        </is>
      </c>
      <c r="O1718" s="4" t="n"/>
    </row>
    <row r="1719">
      <c r="A1719" s="4" t="inlineStr">
        <is>
          <t>MD-0880</t>
        </is>
      </c>
      <c r="B1719" s="21" t="n">
        <v>46213</v>
      </c>
      <c r="C1719" s="4" t="inlineStr">
        <is>
          <t>Puente de Vallecas</t>
        </is>
      </c>
      <c r="D1719" s="4" t="n">
        <v>69</v>
      </c>
      <c r="E1719" s="4" t="inlineStr">
        <is>
          <t>a reformar</t>
        </is>
      </c>
      <c r="F1719" s="22" t="n">
        <v>203000</v>
      </c>
      <c r="G1719" s="23" t="n">
        <v>2942.03</v>
      </c>
      <c r="H1719" s="22" t="n">
        <v>152885</v>
      </c>
      <c r="I1719" s="23" t="n">
        <v>2215.73</v>
      </c>
      <c r="J1719" s="18" t="n">
        <v>0.3278</v>
      </c>
      <c r="K1719" s="24" t="n">
        <v>0</v>
      </c>
      <c r="L1719" s="4" t="n">
        <v>39</v>
      </c>
      <c r="M1719" s="4" t="inlineStr">
        <is>
          <t>alta</t>
        </is>
      </c>
      <c r="N1719" s="4" t="inlineStr">
        <is>
          <t>por encima de comparables</t>
        </is>
      </c>
      <c r="O1719" s="4" t="n"/>
    </row>
    <row r="1720">
      <c r="A1720" s="4" t="inlineStr">
        <is>
          <t>MD-1940</t>
        </is>
      </c>
      <c r="B1720" s="21" t="n">
        <v>46214</v>
      </c>
      <c r="C1720" s="4" t="inlineStr">
        <is>
          <t>Ciudad Lineal</t>
        </is>
      </c>
      <c r="D1720" s="4" t="n">
        <v>43</v>
      </c>
      <c r="E1720" s="4" t="inlineStr">
        <is>
          <t>buen estado</t>
        </is>
      </c>
      <c r="F1720" s="22" t="n">
        <v>189000</v>
      </c>
      <c r="G1720" s="23" t="n">
        <v>4395.35</v>
      </c>
      <c r="H1720" s="22" t="n">
        <v>179479</v>
      </c>
      <c r="I1720" s="23" t="n">
        <v>4173.92</v>
      </c>
      <c r="J1720" s="18" t="n">
        <v>0.0531</v>
      </c>
      <c r="K1720" s="24" t="n">
        <v>36.7</v>
      </c>
      <c r="L1720" s="4" t="n">
        <v>29</v>
      </c>
      <c r="M1720" s="4" t="inlineStr">
        <is>
          <t>media</t>
        </is>
      </c>
      <c r="N1720" s="4" t="inlineStr">
        <is>
          <t>en linea con comparables</t>
        </is>
      </c>
      <c r="O1720" s="4" t="n"/>
    </row>
    <row r="1721">
      <c r="A1721" s="4" t="inlineStr">
        <is>
          <t>MD-0131</t>
        </is>
      </c>
      <c r="B1721" s="21" t="n">
        <v>46214</v>
      </c>
      <c r="C1721" s="4" t="inlineStr">
        <is>
          <t>Arganzuela</t>
        </is>
      </c>
      <c r="D1721" s="4" t="n">
        <v>119</v>
      </c>
      <c r="E1721" s="4" t="inlineStr">
        <is>
          <t>buen estado</t>
        </is>
      </c>
      <c r="F1721" s="22" t="n">
        <v>798000</v>
      </c>
      <c r="G1721" s="23" t="n">
        <v>6705.88</v>
      </c>
      <c r="H1721" s="22" t="n">
        <v>697973</v>
      </c>
      <c r="I1721" s="23" t="n">
        <v>5865.32</v>
      </c>
      <c r="J1721" s="18" t="n">
        <v>0.1433</v>
      </c>
      <c r="K1721" s="24" t="n">
        <v>14.2</v>
      </c>
      <c r="L1721" s="4" t="n">
        <v>6</v>
      </c>
      <c r="M1721" s="4" t="inlineStr">
        <is>
          <t>baja</t>
        </is>
      </c>
      <c r="N1721" s="4" t="inlineStr">
        <is>
          <t>por encima de comparables</t>
        </is>
      </c>
      <c r="O1721" s="4" t="n"/>
    </row>
    <row r="1722">
      <c r="A1722" s="4" t="inlineStr">
        <is>
          <t>MD-1088</t>
        </is>
      </c>
      <c r="B1722" s="21" t="n">
        <v>46214</v>
      </c>
      <c r="C1722" s="4" t="inlineStr">
        <is>
          <t>Hortaleza</t>
        </is>
      </c>
      <c r="D1722" s="4" t="n">
        <v>104</v>
      </c>
      <c r="E1722" s="4" t="inlineStr">
        <is>
          <t>a reformar</t>
        </is>
      </c>
      <c r="F1722" s="22" t="n">
        <v>469000</v>
      </c>
      <c r="G1722" s="23" t="n">
        <v>4509.62</v>
      </c>
      <c r="H1722" s="22" t="n">
        <v>484345</v>
      </c>
      <c r="I1722" s="23" t="n">
        <v>4657.16</v>
      </c>
      <c r="J1722" s="18" t="n">
        <v>-0.0317</v>
      </c>
      <c r="K1722" s="24" t="n">
        <v>57.9</v>
      </c>
      <c r="L1722" s="4" t="n">
        <v>26</v>
      </c>
      <c r="M1722" s="4" t="inlineStr">
        <is>
          <t>alta</t>
        </is>
      </c>
      <c r="N1722" s="4" t="inlineStr">
        <is>
          <t>en linea con comparables</t>
        </is>
      </c>
      <c r="O1722" s="4" t="n"/>
    </row>
    <row r="1723">
      <c r="A1723" s="4" t="inlineStr">
        <is>
          <t>MD-1328</t>
        </is>
      </c>
      <c r="B1723" s="21" t="n">
        <v>46214</v>
      </c>
      <c r="C1723" s="4" t="inlineStr">
        <is>
          <t>Barajas</t>
        </is>
      </c>
      <c r="D1723" s="4" t="n">
        <v>100</v>
      </c>
      <c r="E1723" s="4" t="inlineStr">
        <is>
          <t>buen estado</t>
        </is>
      </c>
      <c r="F1723" s="22" t="n">
        <v>440000</v>
      </c>
      <c r="G1723" s="23" t="n">
        <v>4400</v>
      </c>
      <c r="H1723" s="22" t="n">
        <v>515622</v>
      </c>
      <c r="I1723" s="23" t="n">
        <v>5156.22</v>
      </c>
      <c r="J1723" s="18" t="n">
        <v>-0.1467</v>
      </c>
      <c r="K1723" s="24" t="n">
        <v>86.7</v>
      </c>
      <c r="L1723" s="4" t="n">
        <v>8</v>
      </c>
      <c r="M1723" s="4" t="inlineStr">
        <is>
          <t>media</t>
        </is>
      </c>
      <c r="N1723" s="4" t="inlineStr">
        <is>
          <t>por debajo de comparables</t>
        </is>
      </c>
      <c r="O1723" s="4" t="n"/>
    </row>
    <row r="1724">
      <c r="A1724" s="4" t="inlineStr">
        <is>
          <t>MD-1622</t>
        </is>
      </c>
      <c r="B1724" s="21" t="n">
        <v>46214</v>
      </c>
      <c r="C1724" s="4" t="inlineStr">
        <is>
          <t>Hortaleza</t>
        </is>
      </c>
      <c r="D1724" s="4" t="n">
        <v>67</v>
      </c>
      <c r="E1724" s="4" t="inlineStr">
        <is>
          <t>reformado</t>
        </is>
      </c>
      <c r="F1724" s="22" t="n">
        <v>393000</v>
      </c>
      <c r="G1724" s="23" t="n">
        <v>5865.67</v>
      </c>
      <c r="H1724" s="22" t="n">
        <v>367211</v>
      </c>
      <c r="I1724" s="23" t="n">
        <v>5480.77</v>
      </c>
      <c r="J1724" s="18" t="n">
        <v>0.0702</v>
      </c>
      <c r="K1724" s="24" t="n">
        <v>32.4</v>
      </c>
      <c r="L1724" s="4" t="n">
        <v>30</v>
      </c>
      <c r="M1724" s="4" t="inlineStr">
        <is>
          <t>alta</t>
        </is>
      </c>
      <c r="N1724" s="4" t="inlineStr">
        <is>
          <t>en linea con comparables</t>
        </is>
      </c>
      <c r="O1724" s="4" t="n"/>
    </row>
    <row r="1725">
      <c r="A1725" s="4" t="inlineStr">
        <is>
          <t>MD-1242</t>
        </is>
      </c>
      <c r="B1725" s="21" t="n">
        <v>46215</v>
      </c>
      <c r="C1725" s="4" t="inlineStr">
        <is>
          <t>Latina</t>
        </is>
      </c>
      <c r="D1725" s="4" t="n">
        <v>58</v>
      </c>
      <c r="E1725" s="4" t="inlineStr">
        <is>
          <t>reformado</t>
        </is>
      </c>
      <c r="F1725" s="22" t="n">
        <v>176000</v>
      </c>
      <c r="G1725" s="23" t="n">
        <v>3034.48</v>
      </c>
      <c r="H1725" s="22" t="n">
        <v>205681</v>
      </c>
      <c r="I1725" s="23" t="n">
        <v>3546.22</v>
      </c>
      <c r="J1725" s="18" t="n">
        <v>-0.1443</v>
      </c>
      <c r="K1725" s="24" t="n">
        <v>86.09999999999999</v>
      </c>
      <c r="L1725" s="4" t="n">
        <v>38</v>
      </c>
      <c r="M1725" s="4" t="inlineStr">
        <is>
          <t>media</t>
        </is>
      </c>
      <c r="N1725" s="4" t="inlineStr">
        <is>
          <t>por debajo de comparables</t>
        </is>
      </c>
      <c r="O1725" s="4" t="n"/>
    </row>
    <row r="1726">
      <c r="A1726" s="4" t="inlineStr">
        <is>
          <t>MD-0297</t>
        </is>
      </c>
      <c r="B1726" s="21" t="n">
        <v>46215</v>
      </c>
      <c r="C1726" s="4" t="inlineStr">
        <is>
          <t>Puente de Vallecas</t>
        </is>
      </c>
      <c r="D1726" s="4" t="n">
        <v>59</v>
      </c>
      <c r="E1726" s="4" t="inlineStr">
        <is>
          <t>obra nueva</t>
        </is>
      </c>
      <c r="F1726" s="22" t="n">
        <v>213000</v>
      </c>
      <c r="G1726" s="23" t="n">
        <v>3610.17</v>
      </c>
      <c r="H1726" s="22" t="n">
        <v>198135</v>
      </c>
      <c r="I1726" s="23" t="n">
        <v>3358.23</v>
      </c>
      <c r="J1726" s="18" t="n">
        <v>0.075</v>
      </c>
      <c r="K1726" s="24" t="n">
        <v>31.2</v>
      </c>
      <c r="L1726" s="4" t="n">
        <v>30</v>
      </c>
      <c r="M1726" s="4" t="inlineStr">
        <is>
          <t>alta</t>
        </is>
      </c>
      <c r="N1726" s="4" t="inlineStr">
        <is>
          <t>en linea con comparables</t>
        </is>
      </c>
      <c r="O1726" s="4" t="n"/>
    </row>
    <row r="1727">
      <c r="A1727" s="4" t="inlineStr">
        <is>
          <t>MD-1867</t>
        </is>
      </c>
      <c r="B1727" s="21" t="n">
        <v>46215</v>
      </c>
      <c r="C1727" s="4" t="inlineStr">
        <is>
          <t>Centro</t>
        </is>
      </c>
      <c r="D1727" s="4" t="n">
        <v>34</v>
      </c>
      <c r="E1727" s="4" t="inlineStr">
        <is>
          <t>reformado</t>
        </is>
      </c>
      <c r="F1727" s="22" t="n">
        <v>312000</v>
      </c>
      <c r="G1727" s="23" t="n">
        <v>9176.469999999999</v>
      </c>
      <c r="H1727" s="22" t="n">
        <v>279529</v>
      </c>
      <c r="I1727" s="23" t="n">
        <v>8221.43</v>
      </c>
      <c r="J1727" s="18" t="n">
        <v>0.1162</v>
      </c>
      <c r="K1727" s="24" t="n">
        <v>21</v>
      </c>
      <c r="L1727" s="4" t="n">
        <v>23</v>
      </c>
      <c r="M1727" s="4" t="inlineStr">
        <is>
          <t>alta</t>
        </is>
      </c>
      <c r="N1727" s="4" t="inlineStr">
        <is>
          <t>por encima de comparables</t>
        </is>
      </c>
      <c r="O1727" s="4" t="n"/>
    </row>
    <row r="1728">
      <c r="A1728" s="4" t="inlineStr">
        <is>
          <t>MD-0105</t>
        </is>
      </c>
      <c r="B1728" s="21" t="n">
        <v>46215</v>
      </c>
      <c r="C1728" s="4" t="inlineStr">
        <is>
          <t>Salamanca</t>
        </is>
      </c>
      <c r="D1728" s="4" t="n">
        <v>75</v>
      </c>
      <c r="E1728" s="4" t="inlineStr">
        <is>
          <t>buen estado</t>
        </is>
      </c>
      <c r="F1728" s="22" t="n">
        <v>574000</v>
      </c>
      <c r="G1728" s="23" t="n">
        <v>7653.33</v>
      </c>
      <c r="H1728" s="22" t="n">
        <v>686097</v>
      </c>
      <c r="I1728" s="23" t="n">
        <v>9147.969999999999</v>
      </c>
      <c r="J1728" s="18" t="n">
        <v>-0.1634</v>
      </c>
      <c r="K1728" s="24" t="n">
        <v>90.8</v>
      </c>
      <c r="L1728" s="4" t="n">
        <v>17</v>
      </c>
      <c r="M1728" s="4" t="inlineStr">
        <is>
          <t>media</t>
        </is>
      </c>
      <c r="N1728" s="4" t="inlineStr">
        <is>
          <t>por debajo de comparables</t>
        </is>
      </c>
      <c r="O1728" s="4" t="n"/>
    </row>
    <row r="1729">
      <c r="A1729" s="4" t="inlineStr">
        <is>
          <t>MD-0492</t>
        </is>
      </c>
      <c r="B1729" s="21" t="n">
        <v>46216</v>
      </c>
      <c r="C1729" s="4" t="inlineStr">
        <is>
          <t>Centro</t>
        </is>
      </c>
      <c r="D1729" s="4" t="n">
        <v>46</v>
      </c>
      <c r="E1729" s="4" t="inlineStr">
        <is>
          <t>buen estado</t>
        </is>
      </c>
      <c r="F1729" s="22" t="n">
        <v>381000</v>
      </c>
      <c r="G1729" s="23" t="n">
        <v>8282.610000000001</v>
      </c>
      <c r="H1729" s="22" t="n">
        <v>348767</v>
      </c>
      <c r="I1729" s="23" t="n">
        <v>7581.89</v>
      </c>
      <c r="J1729" s="18" t="n">
        <v>0.0924</v>
      </c>
      <c r="K1729" s="24" t="n">
        <v>26.9</v>
      </c>
      <c r="L1729" s="4" t="n">
        <v>22</v>
      </c>
      <c r="M1729" s="4" t="inlineStr">
        <is>
          <t>alta</t>
        </is>
      </c>
      <c r="N1729" s="4" t="inlineStr">
        <is>
          <t>en linea con comparables</t>
        </is>
      </c>
      <c r="O1729" s="4" t="n"/>
    </row>
    <row r="1730">
      <c r="A1730" s="4" t="inlineStr">
        <is>
          <t>MD-0375</t>
        </is>
      </c>
      <c r="B1730" s="21" t="n">
        <v>46216</v>
      </c>
      <c r="C1730" s="4" t="inlineStr">
        <is>
          <t>Villaverde</t>
        </is>
      </c>
      <c r="D1730" s="4" t="n">
        <v>180</v>
      </c>
      <c r="E1730" s="4" t="inlineStr">
        <is>
          <t>obra nueva</t>
        </is>
      </c>
      <c r="F1730" s="22" t="n">
        <v>480000</v>
      </c>
      <c r="G1730" s="23" t="n">
        <v>2666.67</v>
      </c>
      <c r="H1730" s="22" t="n"/>
      <c r="I1730" s="23" t="n"/>
      <c r="J1730" s="18" t="n"/>
      <c r="K1730" s="24" t="n"/>
      <c r="L1730" s="4" t="n">
        <v>0</v>
      </c>
      <c r="M1730" s="4" t="inlineStr">
        <is>
          <t>sin muestra</t>
        </is>
      </c>
      <c r="N1730" s="4" t="inlineStr">
        <is>
          <t>no valorable</t>
        </is>
      </c>
      <c r="O1730" s="4" t="inlineStr">
        <is>
          <t>segmento con pocas operaciones comparables</t>
        </is>
      </c>
    </row>
    <row r="1731">
      <c r="A1731" s="4" t="inlineStr">
        <is>
          <t>MD-1098</t>
        </is>
      </c>
      <c r="B1731" s="21" t="n">
        <v>46216</v>
      </c>
      <c r="C1731" s="4" t="inlineStr">
        <is>
          <t>Chamberi</t>
        </is>
      </c>
      <c r="D1731" s="4" t="n">
        <v>68</v>
      </c>
      <c r="E1731" s="4" t="inlineStr">
        <is>
          <t>a reformar</t>
        </is>
      </c>
      <c r="F1731" s="22" t="n">
        <v>390000</v>
      </c>
      <c r="G1731" s="23" t="n">
        <v>5735.29</v>
      </c>
      <c r="H1731" s="22" t="n">
        <v>488192</v>
      </c>
      <c r="I1731" s="23" t="n">
        <v>7179.29</v>
      </c>
      <c r="J1731" s="18" t="n">
        <v>-0.2011</v>
      </c>
      <c r="K1731" s="24" t="n">
        <v>100</v>
      </c>
      <c r="L1731" s="4" t="n">
        <v>7</v>
      </c>
      <c r="M1731" s="4" t="inlineStr">
        <is>
          <t>baja</t>
        </is>
      </c>
      <c r="N1731" s="4" t="inlineStr">
        <is>
          <t>por debajo de comparables</t>
        </is>
      </c>
      <c r="O1731" s="4" t="n"/>
    </row>
    <row r="1732">
      <c r="A1732" s="4" t="inlineStr">
        <is>
          <t>MD-0762</t>
        </is>
      </c>
      <c r="B1732" s="21" t="n">
        <v>46216</v>
      </c>
      <c r="C1732" s="4" t="inlineStr">
        <is>
          <t>Ciudad Lineal</t>
        </is>
      </c>
      <c r="D1732" s="4" t="n">
        <v>61</v>
      </c>
      <c r="E1732" s="4" t="inlineStr">
        <is>
          <t>a reformar</t>
        </is>
      </c>
      <c r="F1732" s="22" t="n">
        <v>196000</v>
      </c>
      <c r="G1732" s="23" t="n">
        <v>3213.11</v>
      </c>
      <c r="H1732" s="22" t="n">
        <v>251370</v>
      </c>
      <c r="I1732" s="23" t="n">
        <v>4120.82</v>
      </c>
      <c r="J1732" s="18" t="n">
        <v>-0.2203</v>
      </c>
      <c r="K1732" s="24" t="n">
        <v>100</v>
      </c>
      <c r="L1732" s="4" t="n">
        <v>37</v>
      </c>
      <c r="M1732" s="4" t="inlineStr">
        <is>
          <t>alta</t>
        </is>
      </c>
      <c r="N1732" s="4" t="inlineStr">
        <is>
          <t>por debajo de comparables</t>
        </is>
      </c>
      <c r="O1732" s="4" t="n"/>
    </row>
    <row r="1733">
      <c r="A1733" s="4" t="inlineStr">
        <is>
          <t>MD-0916</t>
        </is>
      </c>
      <c r="B1733" s="21" t="n">
        <v>46216</v>
      </c>
      <c r="C1733" s="4" t="inlineStr">
        <is>
          <t>Fuencarral-El Pardo</t>
        </is>
      </c>
      <c r="D1733" s="4" t="n">
        <v>58</v>
      </c>
      <c r="E1733" s="4" t="inlineStr">
        <is>
          <t>a reformar</t>
        </is>
      </c>
      <c r="F1733" s="22" t="n">
        <v>296000</v>
      </c>
      <c r="G1733" s="23" t="n">
        <v>5103.45</v>
      </c>
      <c r="H1733" s="22" t="n">
        <v>282684</v>
      </c>
      <c r="I1733" s="23" t="n">
        <v>4873.86</v>
      </c>
      <c r="J1733" s="18" t="n">
        <v>0.0471</v>
      </c>
      <c r="K1733" s="24" t="n">
        <v>38.2</v>
      </c>
      <c r="L1733" s="4" t="n">
        <v>24</v>
      </c>
      <c r="M1733" s="4" t="inlineStr">
        <is>
          <t>media</t>
        </is>
      </c>
      <c r="N1733" s="4" t="inlineStr">
        <is>
          <t>en linea con comparables</t>
        </is>
      </c>
      <c r="O1733" s="4" t="n"/>
    </row>
    <row r="1734">
      <c r="A1734" s="4" t="inlineStr">
        <is>
          <t>MD-1447</t>
        </is>
      </c>
      <c r="B1734" s="21" t="n">
        <v>46216</v>
      </c>
      <c r="C1734" s="4" t="inlineStr">
        <is>
          <t>San Blas-Canillejas</t>
        </is>
      </c>
      <c r="D1734" s="4" t="n">
        <v>144</v>
      </c>
      <c r="E1734" s="4" t="inlineStr">
        <is>
          <t>reformado</t>
        </is>
      </c>
      <c r="F1734" s="22" t="n">
        <v>521000</v>
      </c>
      <c r="G1734" s="23" t="n">
        <v>3618.06</v>
      </c>
      <c r="H1734" s="22" t="n">
        <v>546496</v>
      </c>
      <c r="I1734" s="23" t="n">
        <v>3795.11</v>
      </c>
      <c r="J1734" s="18" t="n">
        <v>-0.0467</v>
      </c>
      <c r="K1734" s="24" t="n">
        <v>61.7</v>
      </c>
      <c r="L1734" s="4" t="n">
        <v>17</v>
      </c>
      <c r="M1734" s="4" t="inlineStr">
        <is>
          <t>media</t>
        </is>
      </c>
      <c r="N1734" s="4" t="inlineStr">
        <is>
          <t>en linea con comparables</t>
        </is>
      </c>
      <c r="O1734" s="4" t="n"/>
    </row>
    <row r="1735">
      <c r="A1735" s="4" t="inlineStr">
        <is>
          <t>MD-1728</t>
        </is>
      </c>
      <c r="B1735" s="21" t="n">
        <v>46217</v>
      </c>
      <c r="C1735" s="4" t="inlineStr">
        <is>
          <t>Fuencarral-El Pardo</t>
        </is>
      </c>
      <c r="D1735" s="4" t="n">
        <v>45</v>
      </c>
      <c r="E1735" s="4" t="inlineStr">
        <is>
          <t>reformado</t>
        </is>
      </c>
      <c r="F1735" s="22" t="n">
        <v>317000</v>
      </c>
      <c r="G1735" s="23" t="n">
        <v>7044.44</v>
      </c>
      <c r="H1735" s="22" t="n">
        <v>283293</v>
      </c>
      <c r="I1735" s="23" t="n">
        <v>6295.41</v>
      </c>
      <c r="J1735" s="18" t="n">
        <v>0.119</v>
      </c>
      <c r="K1735" s="24" t="n">
        <v>20.3</v>
      </c>
      <c r="L1735" s="4" t="n">
        <v>14</v>
      </c>
      <c r="M1735" s="4" t="inlineStr">
        <is>
          <t>media</t>
        </is>
      </c>
      <c r="N1735" s="4" t="inlineStr">
        <is>
          <t>por encima de comparables</t>
        </is>
      </c>
      <c r="O1735" s="4" t="n"/>
    </row>
    <row r="1736">
      <c r="A1736" s="4" t="inlineStr">
        <is>
          <t>MD-0894</t>
        </is>
      </c>
      <c r="B1736" s="21" t="n">
        <v>46217</v>
      </c>
      <c r="C1736" s="4" t="inlineStr">
        <is>
          <t>Puente de Vallecas</t>
        </is>
      </c>
      <c r="D1736" s="4" t="n">
        <v>80</v>
      </c>
      <c r="E1736" s="4" t="inlineStr">
        <is>
          <t>buen estado</t>
        </is>
      </c>
      <c r="F1736" s="22" t="n">
        <v>270000</v>
      </c>
      <c r="G1736" s="23" t="n">
        <v>3375</v>
      </c>
      <c r="H1736" s="22" t="n">
        <v>233721</v>
      </c>
      <c r="I1736" s="23" t="n">
        <v>2921.51</v>
      </c>
      <c r="J1736" s="18" t="n">
        <v>0.1552</v>
      </c>
      <c r="K1736" s="24" t="n">
        <v>11.2</v>
      </c>
      <c r="L1736" s="4" t="n">
        <v>36</v>
      </c>
      <c r="M1736" s="4" t="inlineStr">
        <is>
          <t>media</t>
        </is>
      </c>
      <c r="N1736" s="4" t="inlineStr">
        <is>
          <t>por encima de comparables</t>
        </is>
      </c>
      <c r="O1736" s="4" t="n"/>
    </row>
    <row r="1737">
      <c r="A1737" s="4" t="inlineStr">
        <is>
          <t>MD-0292</t>
        </is>
      </c>
      <c r="B1737" s="21" t="n">
        <v>46217</v>
      </c>
      <c r="C1737" s="4" t="inlineStr">
        <is>
          <t>Carabanchel</t>
        </is>
      </c>
      <c r="D1737" s="4" t="n">
        <v>54</v>
      </c>
      <c r="E1737" s="4" t="inlineStr">
        <is>
          <t>buen estado</t>
        </is>
      </c>
      <c r="F1737" s="22" t="n">
        <v>216000</v>
      </c>
      <c r="G1737" s="23" t="n">
        <v>4000</v>
      </c>
      <c r="H1737" s="22" t="n">
        <v>180959</v>
      </c>
      <c r="I1737" s="23" t="n">
        <v>3351.1</v>
      </c>
      <c r="J1737" s="18" t="n">
        <v>0.1936</v>
      </c>
      <c r="K1737" s="24" t="n">
        <v>1.6</v>
      </c>
      <c r="L1737" s="4" t="n">
        <v>42</v>
      </c>
      <c r="M1737" s="4" t="inlineStr">
        <is>
          <t>alta</t>
        </is>
      </c>
      <c r="N1737" s="4" t="inlineStr">
        <is>
          <t>por encima de comparables</t>
        </is>
      </c>
      <c r="O1737" s="4" t="n"/>
    </row>
    <row r="1738">
      <c r="A1738" s="4" t="inlineStr">
        <is>
          <t>MD-1097</t>
        </is>
      </c>
      <c r="B1738" s="21" t="n">
        <v>46217</v>
      </c>
      <c r="C1738" s="4" t="inlineStr">
        <is>
          <t>Salamanca</t>
        </is>
      </c>
      <c r="D1738" s="4" t="n">
        <v>43</v>
      </c>
      <c r="E1738" s="4" t="inlineStr">
        <is>
          <t>buen estado</t>
        </is>
      </c>
      <c r="F1738" s="22" t="n">
        <v>354000</v>
      </c>
      <c r="G1738" s="23" t="n">
        <v>8232.559999999999</v>
      </c>
      <c r="H1738" s="22" t="n">
        <v>358493</v>
      </c>
      <c r="I1738" s="23" t="n">
        <v>8337.049999999999</v>
      </c>
      <c r="J1738" s="18" t="n">
        <v>-0.0125</v>
      </c>
      <c r="K1738" s="24" t="n">
        <v>53.1</v>
      </c>
      <c r="L1738" s="4" t="n">
        <v>13</v>
      </c>
      <c r="M1738" s="4" t="inlineStr">
        <is>
          <t>media</t>
        </is>
      </c>
      <c r="N1738" s="4" t="inlineStr">
        <is>
          <t>en linea con comparables</t>
        </is>
      </c>
      <c r="O1738" s="4" t="n"/>
    </row>
    <row r="1739">
      <c r="A1739" s="4" t="inlineStr">
        <is>
          <t>MD-1444</t>
        </is>
      </c>
      <c r="B1739" s="21" t="n">
        <v>46217</v>
      </c>
      <c r="C1739" s="4" t="inlineStr">
        <is>
          <t>San Blas-Canillejas</t>
        </is>
      </c>
      <c r="D1739" s="4" t="n">
        <v>164</v>
      </c>
      <c r="E1739" s="4" t="inlineStr">
        <is>
          <t>reformado</t>
        </is>
      </c>
      <c r="F1739" s="22" t="n">
        <v>684000</v>
      </c>
      <c r="G1739" s="23" t="n">
        <v>4170.73</v>
      </c>
      <c r="H1739" s="22" t="n">
        <v>688018</v>
      </c>
      <c r="I1739" s="23" t="n">
        <v>4195.23</v>
      </c>
      <c r="J1739" s="18" t="n">
        <v>-0.0058</v>
      </c>
      <c r="K1739" s="24" t="n">
        <v>51.5</v>
      </c>
      <c r="L1739" s="4" t="n">
        <v>13</v>
      </c>
      <c r="M1739" s="4" t="inlineStr">
        <is>
          <t>media</t>
        </is>
      </c>
      <c r="N1739" s="4" t="inlineStr">
        <is>
          <t>en linea con comparables</t>
        </is>
      </c>
      <c r="O1739" s="4" t="n"/>
    </row>
    <row r="1740">
      <c r="A1740" s="4" t="inlineStr">
        <is>
          <t>MD-0356</t>
        </is>
      </c>
      <c r="B1740" s="21" t="n">
        <v>46217</v>
      </c>
      <c r="C1740" s="4" t="inlineStr">
        <is>
          <t>Ciudad Lineal</t>
        </is>
      </c>
      <c r="D1740" s="4" t="n">
        <v>99</v>
      </c>
      <c r="E1740" s="4" t="inlineStr">
        <is>
          <t>reformado</t>
        </is>
      </c>
      <c r="F1740" s="22" t="n">
        <v>377000</v>
      </c>
      <c r="G1740" s="23" t="n">
        <v>3808.08</v>
      </c>
      <c r="H1740" s="22" t="n">
        <v>472031</v>
      </c>
      <c r="I1740" s="23" t="n">
        <v>4767.99</v>
      </c>
      <c r="J1740" s="18" t="n">
        <v>-0.2013</v>
      </c>
      <c r="K1740" s="24" t="n">
        <v>100</v>
      </c>
      <c r="L1740" s="4" t="n">
        <v>22</v>
      </c>
      <c r="M1740" s="4" t="inlineStr">
        <is>
          <t>alta</t>
        </is>
      </c>
      <c r="N1740" s="4" t="inlineStr">
        <is>
          <t>por debajo de comparables</t>
        </is>
      </c>
      <c r="O1740" s="4" t="n"/>
    </row>
    <row r="1741">
      <c r="A1741" s="4" t="inlineStr">
        <is>
          <t>MD-1208</t>
        </is>
      </c>
      <c r="B1741" s="21" t="n">
        <v>46217</v>
      </c>
      <c r="C1741" s="4" t="inlineStr">
        <is>
          <t>Retiro</t>
        </is>
      </c>
      <c r="D1741" s="4" t="n">
        <v>120</v>
      </c>
      <c r="E1741" s="4" t="inlineStr">
        <is>
          <t>reformado</t>
        </is>
      </c>
      <c r="F1741" s="22" t="n">
        <v>1056000</v>
      </c>
      <c r="G1741" s="23" t="n">
        <v>8800</v>
      </c>
      <c r="H1741" s="22" t="n">
        <v>918434</v>
      </c>
      <c r="I1741" s="23" t="n">
        <v>7653.62</v>
      </c>
      <c r="J1741" s="18" t="n">
        <v>0.1498</v>
      </c>
      <c r="K1741" s="24" t="n">
        <v>12.6</v>
      </c>
      <c r="L1741" s="4" t="n">
        <v>12</v>
      </c>
      <c r="M1741" s="4" t="inlineStr">
        <is>
          <t>media</t>
        </is>
      </c>
      <c r="N1741" s="4" t="inlineStr">
        <is>
          <t>por encima de comparables</t>
        </is>
      </c>
      <c r="O1741" s="4" t="n"/>
    </row>
    <row r="1742">
      <c r="A1742" s="4" t="inlineStr">
        <is>
          <t>MD-1825</t>
        </is>
      </c>
      <c r="B1742" s="21" t="n">
        <v>46217</v>
      </c>
      <c r="C1742" s="4" t="inlineStr">
        <is>
          <t>Moratalaz</t>
        </is>
      </c>
      <c r="D1742" s="4" t="n">
        <v>96</v>
      </c>
      <c r="E1742" s="4" t="inlineStr">
        <is>
          <t>reformado</t>
        </is>
      </c>
      <c r="F1742" s="22" t="n">
        <v>381000</v>
      </c>
      <c r="G1742" s="23" t="n">
        <v>3968.75</v>
      </c>
      <c r="H1742" s="22" t="n">
        <v>415139</v>
      </c>
      <c r="I1742" s="23" t="n">
        <v>4324.36</v>
      </c>
      <c r="J1742" s="18" t="n">
        <v>-0.0822</v>
      </c>
      <c r="K1742" s="24" t="n">
        <v>70.59999999999999</v>
      </c>
      <c r="L1742" s="4" t="n">
        <v>19</v>
      </c>
      <c r="M1742" s="4" t="inlineStr">
        <is>
          <t>alta</t>
        </is>
      </c>
      <c r="N1742" s="4" t="inlineStr">
        <is>
          <t>en linea con comparables</t>
        </is>
      </c>
      <c r="O1742" s="4" t="n"/>
    </row>
    <row r="1743">
      <c r="A1743" s="4" t="inlineStr">
        <is>
          <t>MD-0267</t>
        </is>
      </c>
      <c r="B1743" s="21" t="n">
        <v>46217</v>
      </c>
      <c r="C1743" s="4" t="inlineStr">
        <is>
          <t>Retiro</t>
        </is>
      </c>
      <c r="D1743" s="4" t="n">
        <v>57</v>
      </c>
      <c r="E1743" s="4" t="inlineStr">
        <is>
          <t>buen estado</t>
        </is>
      </c>
      <c r="F1743" s="22" t="n">
        <v>304000</v>
      </c>
      <c r="G1743" s="23" t="n">
        <v>5333.33</v>
      </c>
      <c r="H1743" s="22" t="n">
        <v>394673</v>
      </c>
      <c r="I1743" s="23" t="n">
        <v>6924.08</v>
      </c>
      <c r="J1743" s="18" t="n">
        <v>-0.2297</v>
      </c>
      <c r="K1743" s="24" t="n">
        <v>100</v>
      </c>
      <c r="L1743" s="4" t="n">
        <v>14</v>
      </c>
      <c r="M1743" s="4" t="inlineStr">
        <is>
          <t>media</t>
        </is>
      </c>
      <c r="N1743" s="4" t="inlineStr">
        <is>
          <t>por debajo de comparables</t>
        </is>
      </c>
      <c r="O1743" s="4" t="n"/>
    </row>
    <row r="1744">
      <c r="A1744" s="4" t="inlineStr">
        <is>
          <t>MD-0588</t>
        </is>
      </c>
      <c r="B1744" s="21" t="n">
        <v>46217</v>
      </c>
      <c r="C1744" s="4" t="inlineStr">
        <is>
          <t>Hortaleza</t>
        </is>
      </c>
      <c r="D1744" s="4" t="n">
        <v>118</v>
      </c>
      <c r="E1744" s="4" t="inlineStr">
        <is>
          <t>reformado</t>
        </is>
      </c>
      <c r="F1744" s="22" t="n">
        <v>907000</v>
      </c>
      <c r="G1744" s="23" t="n">
        <v>7686.44</v>
      </c>
      <c r="H1744" s="22" t="n">
        <v>626256</v>
      </c>
      <c r="I1744" s="23" t="n">
        <v>5307.25</v>
      </c>
      <c r="J1744" s="18" t="n">
        <v>0.4483</v>
      </c>
      <c r="K1744" s="24" t="n">
        <v>0</v>
      </c>
      <c r="L1744" s="4" t="n">
        <v>32</v>
      </c>
      <c r="M1744" s="4" t="inlineStr">
        <is>
          <t>alta</t>
        </is>
      </c>
      <c r="N1744" s="4" t="inlineStr">
        <is>
          <t>por encima de comparables</t>
        </is>
      </c>
      <c r="O1744" s="4" t="n"/>
    </row>
    <row r="1745">
      <c r="A1745" s="4" t="inlineStr">
        <is>
          <t>MD-0386</t>
        </is>
      </c>
      <c r="B1745" s="21" t="n">
        <v>46218</v>
      </c>
      <c r="C1745" s="4" t="inlineStr">
        <is>
          <t>San Blas-Canillejas</t>
        </is>
      </c>
      <c r="D1745" s="4" t="n">
        <v>84</v>
      </c>
      <c r="E1745" s="4" t="inlineStr">
        <is>
          <t>a reformar</t>
        </is>
      </c>
      <c r="F1745" s="22" t="n">
        <v>185000</v>
      </c>
      <c r="G1745" s="23" t="n">
        <v>2202.38</v>
      </c>
      <c r="H1745" s="22" t="n">
        <v>239170</v>
      </c>
      <c r="I1745" s="23" t="n">
        <v>2847.26</v>
      </c>
      <c r="J1745" s="18" t="n">
        <v>-0.2265</v>
      </c>
      <c r="K1745" s="24" t="n">
        <v>100</v>
      </c>
      <c r="L1745" s="4" t="n">
        <v>24</v>
      </c>
      <c r="M1745" s="4" t="inlineStr">
        <is>
          <t>alta</t>
        </is>
      </c>
      <c r="N1745" s="4" t="inlineStr">
        <is>
          <t>por debajo de comparables</t>
        </is>
      </c>
      <c r="O1745" s="4" t="n"/>
    </row>
    <row r="1746">
      <c r="A1746" s="4" t="inlineStr">
        <is>
          <t>MD-0577</t>
        </is>
      </c>
      <c r="B1746" s="21" t="n">
        <v>46218</v>
      </c>
      <c r="C1746" s="4" t="inlineStr">
        <is>
          <t>Centro</t>
        </is>
      </c>
      <c r="D1746" s="4" t="n">
        <v>106</v>
      </c>
      <c r="E1746" s="4" t="inlineStr">
        <is>
          <t>reformado</t>
        </is>
      </c>
      <c r="F1746" s="22" t="n">
        <v>675000</v>
      </c>
      <c r="G1746" s="23" t="n">
        <v>6367.92</v>
      </c>
      <c r="H1746" s="22" t="n">
        <v>890092</v>
      </c>
      <c r="I1746" s="23" t="n">
        <v>8397.09</v>
      </c>
      <c r="J1746" s="18" t="n">
        <v>-0.2417</v>
      </c>
      <c r="K1746" s="24" t="n">
        <v>100</v>
      </c>
      <c r="L1746" s="4" t="n">
        <v>20</v>
      </c>
      <c r="M1746" s="4" t="inlineStr">
        <is>
          <t>alta</t>
        </is>
      </c>
      <c r="N1746" s="4" t="inlineStr">
        <is>
          <t>por debajo de comparables</t>
        </is>
      </c>
      <c r="O1746" s="4" t="n"/>
    </row>
    <row r="1747">
      <c r="A1747" s="4" t="inlineStr">
        <is>
          <t>MD-1123</t>
        </is>
      </c>
      <c r="B1747" s="21" t="n">
        <v>46218</v>
      </c>
      <c r="C1747" s="4" t="inlineStr">
        <is>
          <t>Hortaleza</t>
        </is>
      </c>
      <c r="D1747" s="4" t="n">
        <v>78</v>
      </c>
      <c r="E1747" s="4" t="inlineStr">
        <is>
          <t>buen estado</t>
        </is>
      </c>
      <c r="F1747" s="22" t="n">
        <v>421000</v>
      </c>
      <c r="G1747" s="23" t="n">
        <v>5397.44</v>
      </c>
      <c r="H1747" s="22" t="n">
        <v>432681</v>
      </c>
      <c r="I1747" s="23" t="n">
        <v>5547.19</v>
      </c>
      <c r="J1747" s="18" t="n">
        <v>-0.027</v>
      </c>
      <c r="K1747" s="24" t="n">
        <v>56.7</v>
      </c>
      <c r="L1747" s="4" t="n">
        <v>31</v>
      </c>
      <c r="M1747" s="4" t="inlineStr">
        <is>
          <t>media</t>
        </is>
      </c>
      <c r="N1747" s="4" t="inlineStr">
        <is>
          <t>en linea con comparables</t>
        </is>
      </c>
      <c r="O1747" s="4" t="n"/>
    </row>
    <row r="1748">
      <c r="A1748" s="4" t="inlineStr">
        <is>
          <t>MD-0301</t>
        </is>
      </c>
      <c r="B1748" s="21" t="n">
        <v>46218</v>
      </c>
      <c r="C1748" s="4" t="inlineStr">
        <is>
          <t>Chamberi</t>
        </is>
      </c>
      <c r="D1748" s="4" t="n">
        <v>46</v>
      </c>
      <c r="E1748" s="4" t="inlineStr">
        <is>
          <t>buen estado</t>
        </is>
      </c>
      <c r="F1748" s="22" t="n">
        <v>416000</v>
      </c>
      <c r="G1748" s="23" t="n">
        <v>9043.48</v>
      </c>
      <c r="H1748" s="22" t="n">
        <v>386891</v>
      </c>
      <c r="I1748" s="23" t="n">
        <v>8410.67</v>
      </c>
      <c r="J1748" s="18" t="n">
        <v>0.0752</v>
      </c>
      <c r="K1748" s="24" t="n">
        <v>31.2</v>
      </c>
      <c r="L1748" s="4" t="n">
        <v>10</v>
      </c>
      <c r="M1748" s="4" t="inlineStr">
        <is>
          <t>media</t>
        </is>
      </c>
      <c r="N1748" s="4" t="inlineStr">
        <is>
          <t>en linea con comparables</t>
        </is>
      </c>
      <c r="O1748" s="4" t="n"/>
    </row>
    <row r="1749">
      <c r="A1749" s="4" t="inlineStr">
        <is>
          <t>MD-1344</t>
        </is>
      </c>
      <c r="B1749" s="21" t="n">
        <v>46218</v>
      </c>
      <c r="C1749" s="4" t="inlineStr">
        <is>
          <t>Chamberi</t>
        </is>
      </c>
      <c r="D1749" s="4" t="n">
        <v>36</v>
      </c>
      <c r="E1749" s="4" t="inlineStr">
        <is>
          <t>reformado</t>
        </is>
      </c>
      <c r="F1749" s="22" t="n">
        <v>324000</v>
      </c>
      <c r="G1749" s="23" t="n">
        <v>9000</v>
      </c>
      <c r="H1749" s="22" t="n">
        <v>326895</v>
      </c>
      <c r="I1749" s="23" t="n">
        <v>9080.42</v>
      </c>
      <c r="J1749" s="18" t="n">
        <v>-0.0089</v>
      </c>
      <c r="K1749" s="24" t="n">
        <v>52.2</v>
      </c>
      <c r="L1749" s="4" t="n">
        <v>8</v>
      </c>
      <c r="M1749" s="4" t="inlineStr">
        <is>
          <t>media</t>
        </is>
      </c>
      <c r="N1749" s="4" t="inlineStr">
        <is>
          <t>en linea con comparables</t>
        </is>
      </c>
      <c r="O1749" s="4" t="n"/>
    </row>
    <row r="1750">
      <c r="A1750" s="4" t="inlineStr">
        <is>
          <t>MD-0794</t>
        </is>
      </c>
      <c r="B1750" s="21" t="n">
        <v>46219</v>
      </c>
      <c r="C1750" s="4" t="inlineStr">
        <is>
          <t>Tetuan</t>
        </is>
      </c>
      <c r="D1750" s="4" t="n">
        <v>129</v>
      </c>
      <c r="E1750" s="4" t="inlineStr">
        <is>
          <t>reformado</t>
        </is>
      </c>
      <c r="F1750" s="22" t="n">
        <v>751000</v>
      </c>
      <c r="G1750" s="23" t="n">
        <v>5821.71</v>
      </c>
      <c r="H1750" s="22" t="n">
        <v>774365</v>
      </c>
      <c r="I1750" s="23" t="n">
        <v>6002.83</v>
      </c>
      <c r="J1750" s="18" t="n">
        <v>-0.0302</v>
      </c>
      <c r="K1750" s="24" t="n">
        <v>57.5</v>
      </c>
      <c r="L1750" s="4" t="n">
        <v>8</v>
      </c>
      <c r="M1750" s="4" t="inlineStr">
        <is>
          <t>media</t>
        </is>
      </c>
      <c r="N1750" s="4" t="inlineStr">
        <is>
          <t>en linea con comparables</t>
        </is>
      </c>
      <c r="O1750" s="4" t="n"/>
    </row>
    <row r="1751">
      <c r="A1751" s="4" t="inlineStr">
        <is>
          <t>MD-1342</t>
        </is>
      </c>
      <c r="B1751" s="21" t="n">
        <v>46219</v>
      </c>
      <c r="C1751" s="4" t="inlineStr">
        <is>
          <t>Tetuan</t>
        </is>
      </c>
      <c r="D1751" s="4" t="n">
        <v>179</v>
      </c>
      <c r="E1751" s="4" t="inlineStr">
        <is>
          <t>reformado</t>
        </is>
      </c>
      <c r="F1751" s="22" t="n">
        <v>1020000</v>
      </c>
      <c r="G1751" s="23" t="n">
        <v>5698.32</v>
      </c>
      <c r="H1751" s="22" t="n">
        <v>947588</v>
      </c>
      <c r="I1751" s="23" t="n">
        <v>5293.79</v>
      </c>
      <c r="J1751" s="18" t="n">
        <v>0.0764</v>
      </c>
      <c r="K1751" s="24" t="n">
        <v>30.9</v>
      </c>
      <c r="L1751" s="4" t="n">
        <v>9</v>
      </c>
      <c r="M1751" s="4" t="inlineStr">
        <is>
          <t>media</t>
        </is>
      </c>
      <c r="N1751" s="4" t="inlineStr">
        <is>
          <t>en linea con comparables</t>
        </is>
      </c>
      <c r="O1751" s="4" t="n"/>
    </row>
    <row r="1752">
      <c r="A1752" s="4" t="inlineStr">
        <is>
          <t>MD-0557</t>
        </is>
      </c>
      <c r="B1752" s="21" t="n">
        <v>46219</v>
      </c>
      <c r="C1752" s="4" t="inlineStr">
        <is>
          <t>Tetuan</t>
        </is>
      </c>
      <c r="D1752" s="4" t="n">
        <v>75</v>
      </c>
      <c r="E1752" s="4" t="inlineStr">
        <is>
          <t>buen estado</t>
        </is>
      </c>
      <c r="F1752" s="22" t="n">
        <v>664000</v>
      </c>
      <c r="G1752" s="23" t="n">
        <v>8853.33</v>
      </c>
      <c r="H1752" s="22" t="n">
        <v>358810</v>
      </c>
      <c r="I1752" s="23" t="n">
        <v>4784.14</v>
      </c>
      <c r="J1752" s="18" t="n">
        <v>0.8506</v>
      </c>
      <c r="K1752" s="24" t="n">
        <v>0</v>
      </c>
      <c r="L1752" s="4" t="n">
        <v>34</v>
      </c>
      <c r="M1752" s="4" t="inlineStr">
        <is>
          <t>media</t>
        </is>
      </c>
      <c r="N1752" s="4" t="inlineStr">
        <is>
          <t>por encima de comparables</t>
        </is>
      </c>
      <c r="O1752" s="4" t="n"/>
    </row>
    <row r="1753">
      <c r="A1753" s="4" t="inlineStr">
        <is>
          <t>MD-1607</t>
        </is>
      </c>
      <c r="B1753" s="21" t="n">
        <v>46219</v>
      </c>
      <c r="C1753" s="4" t="inlineStr">
        <is>
          <t>Fuencarral-El Pardo</t>
        </is>
      </c>
      <c r="D1753" s="4" t="n">
        <v>66</v>
      </c>
      <c r="E1753" s="4" t="inlineStr">
        <is>
          <t>a reformar</t>
        </is>
      </c>
      <c r="F1753" s="22" t="n">
        <v>342000</v>
      </c>
      <c r="G1753" s="23" t="n">
        <v>5181.82</v>
      </c>
      <c r="H1753" s="22" t="n">
        <v>328815</v>
      </c>
      <c r="I1753" s="23" t="n">
        <v>4982.04</v>
      </c>
      <c r="J1753" s="18" t="n">
        <v>0.0401</v>
      </c>
      <c r="K1753" s="24" t="n">
        <v>40</v>
      </c>
      <c r="L1753" s="4" t="n">
        <v>21</v>
      </c>
      <c r="M1753" s="4" t="inlineStr">
        <is>
          <t>alta</t>
        </is>
      </c>
      <c r="N1753" s="4" t="inlineStr">
        <is>
          <t>en linea con comparables</t>
        </is>
      </c>
      <c r="O1753" s="4" t="n"/>
    </row>
    <row r="1754">
      <c r="A1754" s="4" t="inlineStr">
        <is>
          <t>MD-0574</t>
        </is>
      </c>
      <c r="B1754" s="21" t="n">
        <v>46219</v>
      </c>
      <c r="C1754" s="4" t="inlineStr">
        <is>
          <t>Moratalaz</t>
        </is>
      </c>
      <c r="D1754" s="4" t="n">
        <v>92</v>
      </c>
      <c r="E1754" s="4" t="inlineStr">
        <is>
          <t>buen estado</t>
        </is>
      </c>
      <c r="F1754" s="22" t="n">
        <v>373000</v>
      </c>
      <c r="G1754" s="23" t="n">
        <v>4054.35</v>
      </c>
      <c r="H1754" s="22" t="n">
        <v>310031</v>
      </c>
      <c r="I1754" s="23" t="n">
        <v>3369.9</v>
      </c>
      <c r="J1754" s="18" t="n">
        <v>0.2031</v>
      </c>
      <c r="K1754" s="24" t="n">
        <v>0</v>
      </c>
      <c r="L1754" s="4" t="n">
        <v>20</v>
      </c>
      <c r="M1754" s="4" t="inlineStr">
        <is>
          <t>alta</t>
        </is>
      </c>
      <c r="N1754" s="4" t="inlineStr">
        <is>
          <t>por encima de comparables</t>
        </is>
      </c>
      <c r="O1754" s="4" t="n"/>
    </row>
    <row r="1755">
      <c r="A1755" s="4" t="inlineStr">
        <is>
          <t>MD-0084</t>
        </is>
      </c>
      <c r="B1755" s="21" t="n">
        <v>46219</v>
      </c>
      <c r="C1755" s="4" t="inlineStr">
        <is>
          <t>Villa de Vallecas</t>
        </is>
      </c>
      <c r="D1755" s="4" t="n">
        <v>93</v>
      </c>
      <c r="E1755" s="4" t="inlineStr">
        <is>
          <t>obra nueva</t>
        </is>
      </c>
      <c r="F1755" s="22" t="n">
        <v>435000</v>
      </c>
      <c r="G1755" s="23" t="n">
        <v>4677.42</v>
      </c>
      <c r="H1755" s="22" t="n">
        <v>379449</v>
      </c>
      <c r="I1755" s="23" t="n">
        <v>4080.1</v>
      </c>
      <c r="J1755" s="18" t="n">
        <v>0.1464</v>
      </c>
      <c r="K1755" s="24" t="n">
        <v>13.4</v>
      </c>
      <c r="L1755" s="4" t="n">
        <v>18</v>
      </c>
      <c r="M1755" s="4" t="inlineStr">
        <is>
          <t>alta</t>
        </is>
      </c>
      <c r="N1755" s="4" t="inlineStr">
        <is>
          <t>por encima de comparables</t>
        </is>
      </c>
      <c r="O1755" s="4" t="n"/>
    </row>
    <row r="1756">
      <c r="A1756" s="4" t="inlineStr">
        <is>
          <t>MD-1582</t>
        </is>
      </c>
      <c r="B1756" s="21" t="n">
        <v>46219</v>
      </c>
      <c r="C1756" s="4" t="inlineStr">
        <is>
          <t>Fuencarral-El Pardo</t>
        </is>
      </c>
      <c r="D1756" s="4" t="n">
        <v>99</v>
      </c>
      <c r="E1756" s="4" t="inlineStr">
        <is>
          <t>buen estado</t>
        </is>
      </c>
      <c r="F1756" s="22" t="n">
        <v>580000</v>
      </c>
      <c r="G1756" s="23" t="n">
        <v>5858.59</v>
      </c>
      <c r="H1756" s="22" t="n">
        <v>551586</v>
      </c>
      <c r="I1756" s="23" t="n">
        <v>5571.58</v>
      </c>
      <c r="J1756" s="18" t="n">
        <v>0.0515</v>
      </c>
      <c r="K1756" s="24" t="n">
        <v>37.1</v>
      </c>
      <c r="L1756" s="4" t="n">
        <v>32</v>
      </c>
      <c r="M1756" s="4" t="inlineStr">
        <is>
          <t>alta</t>
        </is>
      </c>
      <c r="N1756" s="4" t="inlineStr">
        <is>
          <t>en linea con comparables</t>
        </is>
      </c>
      <c r="O1756" s="4" t="n"/>
    </row>
    <row r="1757">
      <c r="A1757" s="4" t="inlineStr">
        <is>
          <t>MD-0540</t>
        </is>
      </c>
      <c r="B1757" s="21" t="n">
        <v>46220</v>
      </c>
      <c r="C1757" s="4" t="inlineStr">
        <is>
          <t>Carabanchel</t>
        </is>
      </c>
      <c r="D1757" s="4" t="n">
        <v>41</v>
      </c>
      <c r="E1757" s="4" t="inlineStr">
        <is>
          <t>a reformar</t>
        </is>
      </c>
      <c r="F1757" s="22" t="n">
        <v>119000</v>
      </c>
      <c r="G1757" s="23" t="n">
        <v>2902.44</v>
      </c>
      <c r="H1757" s="22" t="n">
        <v>116004</v>
      </c>
      <c r="I1757" s="23" t="n">
        <v>2829.36</v>
      </c>
      <c r="J1757" s="18" t="n">
        <v>0.0258</v>
      </c>
      <c r="K1757" s="24" t="n">
        <v>43.5</v>
      </c>
      <c r="L1757" s="4" t="n">
        <v>18</v>
      </c>
      <c r="M1757" s="4" t="inlineStr">
        <is>
          <t>alta</t>
        </is>
      </c>
      <c r="N1757" s="4" t="inlineStr">
        <is>
          <t>en linea con comparables</t>
        </is>
      </c>
      <c r="O1757" s="4" t="n"/>
    </row>
    <row r="1758">
      <c r="A1758" s="4" t="inlineStr">
        <is>
          <t>MD-0090</t>
        </is>
      </c>
      <c r="B1758" s="21" t="n">
        <v>46220</v>
      </c>
      <c r="C1758" s="4" t="inlineStr">
        <is>
          <t>Arganzuela</t>
        </is>
      </c>
      <c r="D1758" s="4" t="n">
        <v>59</v>
      </c>
      <c r="E1758" s="4" t="inlineStr">
        <is>
          <t>reformado</t>
        </is>
      </c>
      <c r="F1758" s="22" t="n">
        <v>355000</v>
      </c>
      <c r="G1758" s="23" t="n">
        <v>6016.95</v>
      </c>
      <c r="H1758" s="22" t="n">
        <v>333262</v>
      </c>
      <c r="I1758" s="23" t="n">
        <v>5648.51</v>
      </c>
      <c r="J1758" s="18" t="n">
        <v>0.06519999999999999</v>
      </c>
      <c r="K1758" s="24" t="n">
        <v>33.7</v>
      </c>
      <c r="L1758" s="4" t="n">
        <v>23</v>
      </c>
      <c r="M1758" s="4" t="inlineStr">
        <is>
          <t>alta</t>
        </is>
      </c>
      <c r="N1758" s="4" t="inlineStr">
        <is>
          <t>en linea con comparables</t>
        </is>
      </c>
      <c r="O1758" s="4" t="n"/>
    </row>
    <row r="1759">
      <c r="A1759" s="4" t="inlineStr">
        <is>
          <t>MD-1915</t>
        </is>
      </c>
      <c r="B1759" s="21" t="n">
        <v>46220</v>
      </c>
      <c r="C1759" s="4" t="inlineStr">
        <is>
          <t>San Blas-Canillejas</t>
        </is>
      </c>
      <c r="D1759" s="4" t="n">
        <v>112</v>
      </c>
      <c r="E1759" s="4" t="inlineStr">
        <is>
          <t>a reformar</t>
        </is>
      </c>
      <c r="F1759" s="22" t="n">
        <v>315000</v>
      </c>
      <c r="G1759" s="23" t="n">
        <v>2812.5</v>
      </c>
      <c r="H1759" s="22" t="n">
        <v>364697</v>
      </c>
      <c r="I1759" s="23" t="n">
        <v>3256.22</v>
      </c>
      <c r="J1759" s="18" t="n">
        <v>-0.1363</v>
      </c>
      <c r="K1759" s="24" t="n">
        <v>84.09999999999999</v>
      </c>
      <c r="L1759" s="4" t="n">
        <v>26</v>
      </c>
      <c r="M1759" s="4" t="inlineStr">
        <is>
          <t>media</t>
        </is>
      </c>
      <c r="N1759" s="4" t="inlineStr">
        <is>
          <t>por debajo de comparables</t>
        </is>
      </c>
      <c r="O1759" s="4" t="n"/>
    </row>
    <row r="1760">
      <c r="A1760" s="4" t="inlineStr">
        <is>
          <t>MD-1989</t>
        </is>
      </c>
      <c r="B1760" s="21" t="n">
        <v>46220</v>
      </c>
      <c r="C1760" s="4" t="inlineStr">
        <is>
          <t>Vicalvaro</t>
        </is>
      </c>
      <c r="D1760" s="4" t="n">
        <v>90</v>
      </c>
      <c r="E1760" s="4" t="inlineStr">
        <is>
          <t>buen estado</t>
        </is>
      </c>
      <c r="F1760" s="22" t="n">
        <v>221000</v>
      </c>
      <c r="G1760" s="23" t="n">
        <v>2455.56</v>
      </c>
      <c r="H1760" s="22" t="n">
        <v>254236</v>
      </c>
      <c r="I1760" s="23" t="n">
        <v>2824.84</v>
      </c>
      <c r="J1760" s="18" t="n">
        <v>-0.1307</v>
      </c>
      <c r="K1760" s="24" t="n">
        <v>82.7</v>
      </c>
      <c r="L1760" s="4" t="n">
        <v>27</v>
      </c>
      <c r="M1760" s="4" t="inlineStr">
        <is>
          <t>media</t>
        </is>
      </c>
      <c r="N1760" s="4" t="inlineStr">
        <is>
          <t>por debajo de comparables</t>
        </is>
      </c>
      <c r="O1760" s="4" t="n"/>
    </row>
    <row r="1761">
      <c r="A1761" s="4" t="inlineStr">
        <is>
          <t>MD-1272</t>
        </is>
      </c>
      <c r="B1761" s="21" t="n">
        <v>46220</v>
      </c>
      <c r="C1761" s="4" t="inlineStr">
        <is>
          <t>Arganzuela</t>
        </is>
      </c>
      <c r="D1761" s="4" t="n">
        <v>39</v>
      </c>
      <c r="E1761" s="4" t="inlineStr">
        <is>
          <t>buen estado</t>
        </is>
      </c>
      <c r="F1761" s="22" t="n">
        <v>241000</v>
      </c>
      <c r="G1761" s="23" t="n">
        <v>6179.49</v>
      </c>
      <c r="H1761" s="22" t="n"/>
      <c r="I1761" s="23" t="n"/>
      <c r="J1761" s="18" t="n"/>
      <c r="K1761" s="24" t="n"/>
      <c r="L1761" s="4" t="n">
        <v>4</v>
      </c>
      <c r="M1761" s="4" t="inlineStr">
        <is>
          <t>sin muestra</t>
        </is>
      </c>
      <c r="N1761" s="4" t="inlineStr">
        <is>
          <t>no valorable</t>
        </is>
      </c>
      <c r="O1761" s="4" t="inlineStr">
        <is>
          <t>segmento con pocas operaciones comparables</t>
        </is>
      </c>
    </row>
    <row r="1762">
      <c r="A1762" s="4" t="inlineStr">
        <is>
          <t>MD-1584</t>
        </is>
      </c>
      <c r="B1762" s="21" t="n">
        <v>46220</v>
      </c>
      <c r="C1762" s="4" t="inlineStr">
        <is>
          <t>Villa de Vallecas</t>
        </is>
      </c>
      <c r="D1762" s="4" t="n">
        <v>78</v>
      </c>
      <c r="E1762" s="4" t="inlineStr">
        <is>
          <t>reformado</t>
        </is>
      </c>
      <c r="F1762" s="22" t="n">
        <v>248000</v>
      </c>
      <c r="G1762" s="23" t="n">
        <v>3179.49</v>
      </c>
      <c r="H1762" s="22" t="n">
        <v>316338</v>
      </c>
      <c r="I1762" s="23" t="n">
        <v>4055.62</v>
      </c>
      <c r="J1762" s="18" t="n">
        <v>-0.216</v>
      </c>
      <c r="K1762" s="24" t="n">
        <v>100</v>
      </c>
      <c r="L1762" s="4" t="n">
        <v>22</v>
      </c>
      <c r="M1762" s="4" t="inlineStr">
        <is>
          <t>alta</t>
        </is>
      </c>
      <c r="N1762" s="4" t="inlineStr">
        <is>
          <t>por debajo de comparables</t>
        </is>
      </c>
      <c r="O1762" s="4" t="n"/>
    </row>
    <row r="1763">
      <c r="A1763" s="4" t="inlineStr">
        <is>
          <t>MD-1037</t>
        </is>
      </c>
      <c r="B1763" s="21" t="n">
        <v>46220</v>
      </c>
      <c r="C1763" s="4" t="inlineStr">
        <is>
          <t>Centro</t>
        </is>
      </c>
      <c r="D1763" s="4" t="n">
        <v>36</v>
      </c>
      <c r="E1763" s="4" t="inlineStr">
        <is>
          <t>buen estado</t>
        </is>
      </c>
      <c r="F1763" s="22" t="n">
        <v>248000</v>
      </c>
      <c r="G1763" s="23" t="n">
        <v>6888.89</v>
      </c>
      <c r="H1763" s="22" t="n">
        <v>272948</v>
      </c>
      <c r="I1763" s="23" t="n">
        <v>7581.89</v>
      </c>
      <c r="J1763" s="18" t="n">
        <v>-0.0914</v>
      </c>
      <c r="K1763" s="24" t="n">
        <v>72.90000000000001</v>
      </c>
      <c r="L1763" s="4" t="n">
        <v>30</v>
      </c>
      <c r="M1763" s="4" t="inlineStr">
        <is>
          <t>alta</t>
        </is>
      </c>
      <c r="N1763" s="4" t="inlineStr">
        <is>
          <t>en linea con comparables</t>
        </is>
      </c>
      <c r="O1763" s="4" t="n"/>
    </row>
    <row r="1764">
      <c r="A1764" s="4" t="inlineStr">
        <is>
          <t>MD-0102</t>
        </is>
      </c>
      <c r="B1764" s="21" t="n">
        <v>46221</v>
      </c>
      <c r="C1764" s="4" t="inlineStr">
        <is>
          <t>Chamartin</t>
        </is>
      </c>
      <c r="D1764" s="4" t="n">
        <v>78</v>
      </c>
      <c r="E1764" s="4" t="inlineStr">
        <is>
          <t>buen estado</t>
        </is>
      </c>
      <c r="F1764" s="22" t="n">
        <v>575000</v>
      </c>
      <c r="G1764" s="23" t="n">
        <v>7371.79</v>
      </c>
      <c r="H1764" s="22" t="n">
        <v>622820</v>
      </c>
      <c r="I1764" s="23" t="n">
        <v>7984.87</v>
      </c>
      <c r="J1764" s="18" t="n">
        <v>-0.07679999999999999</v>
      </c>
      <c r="K1764" s="24" t="n">
        <v>69.2</v>
      </c>
      <c r="L1764" s="4" t="n">
        <v>22</v>
      </c>
      <c r="M1764" s="4" t="inlineStr">
        <is>
          <t>alta</t>
        </is>
      </c>
      <c r="N1764" s="4" t="inlineStr">
        <is>
          <t>en linea con comparables</t>
        </is>
      </c>
      <c r="O1764" s="4" t="n"/>
    </row>
    <row r="1765">
      <c r="A1765" s="4" t="inlineStr">
        <is>
          <t>MD-0991</t>
        </is>
      </c>
      <c r="B1765" s="21" t="n">
        <v>46221</v>
      </c>
      <c r="C1765" s="4" t="inlineStr">
        <is>
          <t>Salamanca</t>
        </is>
      </c>
      <c r="D1765" s="4" t="n">
        <v>74</v>
      </c>
      <c r="E1765" s="4" t="inlineStr">
        <is>
          <t>a reformar</t>
        </is>
      </c>
      <c r="F1765" s="22" t="n">
        <v>449000</v>
      </c>
      <c r="G1765" s="23" t="n">
        <v>6067.57</v>
      </c>
      <c r="H1765" s="22" t="n">
        <v>484497</v>
      </c>
      <c r="I1765" s="23" t="n">
        <v>6547.25</v>
      </c>
      <c r="J1765" s="18" t="n">
        <v>-0.0733</v>
      </c>
      <c r="K1765" s="24" t="n">
        <v>68.3</v>
      </c>
      <c r="L1765" s="4" t="n">
        <v>16</v>
      </c>
      <c r="M1765" s="4" t="inlineStr">
        <is>
          <t>media</t>
        </is>
      </c>
      <c r="N1765" s="4" t="inlineStr">
        <is>
          <t>en linea con comparables</t>
        </is>
      </c>
      <c r="O1765" s="4" t="n"/>
    </row>
    <row r="1766">
      <c r="A1766" s="4" t="inlineStr">
        <is>
          <t>MD-0415</t>
        </is>
      </c>
      <c r="B1766" s="21" t="n">
        <v>46221</v>
      </c>
      <c r="C1766" s="4" t="inlineStr">
        <is>
          <t>Arganzuela</t>
        </is>
      </c>
      <c r="D1766" s="4" t="n">
        <v>96</v>
      </c>
      <c r="E1766" s="4" t="inlineStr">
        <is>
          <t>buen estado</t>
        </is>
      </c>
      <c r="F1766" s="22" t="n">
        <v>527000</v>
      </c>
      <c r="G1766" s="23" t="n">
        <v>5489.58</v>
      </c>
      <c r="H1766" s="22" t="n">
        <v>519626</v>
      </c>
      <c r="I1766" s="23" t="n">
        <v>5412.77</v>
      </c>
      <c r="J1766" s="18" t="n">
        <v>0.0142</v>
      </c>
      <c r="K1766" s="24" t="n">
        <v>46.5</v>
      </c>
      <c r="L1766" s="4" t="n">
        <v>13</v>
      </c>
      <c r="M1766" s="4" t="inlineStr">
        <is>
          <t>media</t>
        </is>
      </c>
      <c r="N1766" s="4" t="inlineStr">
        <is>
          <t>en linea con comparables</t>
        </is>
      </c>
      <c r="O1766" s="4" t="n"/>
    </row>
    <row r="1767">
      <c r="A1767" s="4" t="inlineStr">
        <is>
          <t>MD-1301</t>
        </is>
      </c>
      <c r="B1767" s="21" t="n">
        <v>46221</v>
      </c>
      <c r="C1767" s="4" t="inlineStr">
        <is>
          <t>Vicalvaro</t>
        </is>
      </c>
      <c r="D1767" s="4" t="n">
        <v>103</v>
      </c>
      <c r="E1767" s="4" t="inlineStr">
        <is>
          <t>buen estado</t>
        </is>
      </c>
      <c r="F1767" s="22" t="n">
        <v>380000</v>
      </c>
      <c r="G1767" s="23" t="n">
        <v>3689.32</v>
      </c>
      <c r="H1767" s="22" t="n">
        <v>369140</v>
      </c>
      <c r="I1767" s="23" t="n">
        <v>3583.88</v>
      </c>
      <c r="J1767" s="18" t="n">
        <v>0.0294</v>
      </c>
      <c r="K1767" s="24" t="n">
        <v>42.6</v>
      </c>
      <c r="L1767" s="4" t="n">
        <v>29</v>
      </c>
      <c r="M1767" s="4" t="inlineStr">
        <is>
          <t>alta</t>
        </is>
      </c>
      <c r="N1767" s="4" t="inlineStr">
        <is>
          <t>en linea con comparables</t>
        </is>
      </c>
      <c r="O1767" s="4" t="n"/>
    </row>
    <row r="1768">
      <c r="A1768" s="4" t="inlineStr">
        <is>
          <t>MD-0155</t>
        </is>
      </c>
      <c r="B1768" s="21" t="n">
        <v>46221</v>
      </c>
      <c r="C1768" s="4" t="inlineStr">
        <is>
          <t>Puente de Vallecas</t>
        </is>
      </c>
      <c r="D1768" s="4" t="n">
        <v>29</v>
      </c>
      <c r="E1768" s="4" t="inlineStr">
        <is>
          <t>buen estado</t>
        </is>
      </c>
      <c r="F1768" s="22" t="n">
        <v>64000</v>
      </c>
      <c r="G1768" s="23" t="n">
        <v>2206.9</v>
      </c>
      <c r="H1768" s="22" t="n">
        <v>70652</v>
      </c>
      <c r="I1768" s="23" t="n">
        <v>2436.28</v>
      </c>
      <c r="J1768" s="18" t="n">
        <v>-0.09420000000000001</v>
      </c>
      <c r="K1768" s="24" t="n">
        <v>73.5</v>
      </c>
      <c r="L1768" s="4" t="n">
        <v>11</v>
      </c>
      <c r="M1768" s="4" t="inlineStr">
        <is>
          <t>media</t>
        </is>
      </c>
      <c r="N1768" s="4" t="inlineStr">
        <is>
          <t>en linea con comparables</t>
        </is>
      </c>
      <c r="O1768" s="4" t="n"/>
    </row>
    <row r="1769">
      <c r="A1769" s="4" t="inlineStr">
        <is>
          <t>MD-1157</t>
        </is>
      </c>
      <c r="B1769" s="21" t="n">
        <v>46221</v>
      </c>
      <c r="C1769" s="4" t="inlineStr">
        <is>
          <t>Tetuan</t>
        </is>
      </c>
      <c r="D1769" s="4" t="n">
        <v>41</v>
      </c>
      <c r="E1769" s="4" t="inlineStr">
        <is>
          <t>buen estado</t>
        </is>
      </c>
      <c r="F1769" s="22" t="n">
        <v>187000</v>
      </c>
      <c r="G1769" s="23" t="n">
        <v>4560.98</v>
      </c>
      <c r="H1769" s="22" t="n">
        <v>232995</v>
      </c>
      <c r="I1769" s="23" t="n">
        <v>5682.81</v>
      </c>
      <c r="J1769" s="18" t="n">
        <v>-0.1974</v>
      </c>
      <c r="K1769" s="24" t="n">
        <v>99.40000000000001</v>
      </c>
      <c r="L1769" s="4" t="n">
        <v>18</v>
      </c>
      <c r="M1769" s="4" t="inlineStr">
        <is>
          <t>media</t>
        </is>
      </c>
      <c r="N1769" s="4" t="inlineStr">
        <is>
          <t>por debajo de comparables</t>
        </is>
      </c>
      <c r="O1769" s="4" t="n"/>
    </row>
    <row r="1770">
      <c r="A1770" s="4" t="inlineStr">
        <is>
          <t>MD-0702</t>
        </is>
      </c>
      <c r="B1770" s="21" t="n">
        <v>46222</v>
      </c>
      <c r="C1770" s="4" t="inlineStr">
        <is>
          <t>Carabanchel</t>
        </is>
      </c>
      <c r="D1770" s="4" t="n">
        <v>93</v>
      </c>
      <c r="E1770" s="4" t="inlineStr">
        <is>
          <t>reformado</t>
        </is>
      </c>
      <c r="F1770" s="22" t="n">
        <v>418000</v>
      </c>
      <c r="G1770" s="23" t="n">
        <v>4494.62</v>
      </c>
      <c r="H1770" s="22" t="n">
        <v>345390</v>
      </c>
      <c r="I1770" s="23" t="n">
        <v>3713.87</v>
      </c>
      <c r="J1770" s="18" t="n">
        <v>0.2102</v>
      </c>
      <c r="K1770" s="24" t="n">
        <v>0</v>
      </c>
      <c r="L1770" s="4" t="n">
        <v>24</v>
      </c>
      <c r="M1770" s="4" t="inlineStr">
        <is>
          <t>alta</t>
        </is>
      </c>
      <c r="N1770" s="4" t="inlineStr">
        <is>
          <t>por encima de comparables</t>
        </is>
      </c>
      <c r="O1770" s="4" t="n"/>
    </row>
    <row r="1771">
      <c r="A1771" s="4" t="inlineStr">
        <is>
          <t>MD-0684</t>
        </is>
      </c>
      <c r="B1771" s="21" t="n">
        <v>46222</v>
      </c>
      <c r="C1771" s="4" t="inlineStr">
        <is>
          <t>Latina</t>
        </is>
      </c>
      <c r="D1771" s="4" t="n">
        <v>85</v>
      </c>
      <c r="E1771" s="4" t="inlineStr">
        <is>
          <t>a reformar</t>
        </is>
      </c>
      <c r="F1771" s="22" t="n">
        <v>287000</v>
      </c>
      <c r="G1771" s="23" t="n">
        <v>3376.47</v>
      </c>
      <c r="H1771" s="22" t="n">
        <v>241747</v>
      </c>
      <c r="I1771" s="23" t="n">
        <v>2844.09</v>
      </c>
      <c r="J1771" s="18" t="n">
        <v>0.1872</v>
      </c>
      <c r="K1771" s="24" t="n">
        <v>3.2</v>
      </c>
      <c r="L1771" s="4" t="n">
        <v>30</v>
      </c>
      <c r="M1771" s="4" t="inlineStr">
        <is>
          <t>media</t>
        </is>
      </c>
      <c r="N1771" s="4" t="inlineStr">
        <is>
          <t>por encima de comparables</t>
        </is>
      </c>
      <c r="O1771" s="4" t="n"/>
    </row>
    <row r="1772">
      <c r="A1772" s="4" t="inlineStr">
        <is>
          <t>MD-0385</t>
        </is>
      </c>
      <c r="B1772" s="21" t="n">
        <v>46222</v>
      </c>
      <c r="C1772" s="4" t="inlineStr">
        <is>
          <t>Retiro</t>
        </is>
      </c>
      <c r="D1772" s="4" t="n">
        <v>173</v>
      </c>
      <c r="E1772" s="4" t="inlineStr">
        <is>
          <t>a reformar</t>
        </is>
      </c>
      <c r="F1772" s="22" t="n">
        <v>1045000</v>
      </c>
      <c r="G1772" s="23" t="n">
        <v>6040.46</v>
      </c>
      <c r="H1772" s="22" t="n">
        <v>869178</v>
      </c>
      <c r="I1772" s="23" t="n">
        <v>5024.15</v>
      </c>
      <c r="J1772" s="18" t="n">
        <v>0.2023</v>
      </c>
      <c r="K1772" s="24" t="n">
        <v>0</v>
      </c>
      <c r="L1772" s="4" t="n">
        <v>12</v>
      </c>
      <c r="M1772" s="4" t="inlineStr">
        <is>
          <t>baja</t>
        </is>
      </c>
      <c r="N1772" s="4" t="inlineStr">
        <is>
          <t>por encima de comparables</t>
        </is>
      </c>
      <c r="O1772" s="4" t="n"/>
    </row>
    <row r="1773">
      <c r="A1773" s="4" t="inlineStr">
        <is>
          <t>MD-1747</t>
        </is>
      </c>
      <c r="B1773" s="21" t="n">
        <v>46223</v>
      </c>
      <c r="C1773" s="4" t="inlineStr">
        <is>
          <t>Vicalvaro</t>
        </is>
      </c>
      <c r="D1773" s="4" t="n">
        <v>81</v>
      </c>
      <c r="E1773" s="4" t="inlineStr">
        <is>
          <t>reformado</t>
        </is>
      </c>
      <c r="F1773" s="22" t="n">
        <v>193000</v>
      </c>
      <c r="G1773" s="23" t="n">
        <v>2382.72</v>
      </c>
      <c r="H1773" s="22" t="n">
        <v>250301</v>
      </c>
      <c r="I1773" s="23" t="n">
        <v>3090.13</v>
      </c>
      <c r="J1773" s="18" t="n">
        <v>-0.2289</v>
      </c>
      <c r="K1773" s="24" t="n">
        <v>100</v>
      </c>
      <c r="L1773" s="4" t="n">
        <v>26</v>
      </c>
      <c r="M1773" s="4" t="inlineStr">
        <is>
          <t>media</t>
        </is>
      </c>
      <c r="N1773" s="4" t="inlineStr">
        <is>
          <t>por debajo de comparables</t>
        </is>
      </c>
      <c r="O1773" s="4" t="n"/>
    </row>
    <row r="1774">
      <c r="A1774" s="4" t="inlineStr">
        <is>
          <t>MD-1980</t>
        </is>
      </c>
      <c r="B1774" s="21" t="n">
        <v>46223</v>
      </c>
      <c r="C1774" s="4" t="inlineStr">
        <is>
          <t>Salamanca</t>
        </is>
      </c>
      <c r="D1774" s="4" t="n">
        <v>176</v>
      </c>
      <c r="E1774" s="4" t="inlineStr">
        <is>
          <t>buen estado</t>
        </is>
      </c>
      <c r="F1774" s="22" t="n">
        <v>1463000</v>
      </c>
      <c r="G1774" s="23" t="n">
        <v>8312.5</v>
      </c>
      <c r="H1774" s="22" t="n">
        <v>1613721</v>
      </c>
      <c r="I1774" s="23" t="n">
        <v>9168.870000000001</v>
      </c>
      <c r="J1774" s="18" t="n">
        <v>-0.0934</v>
      </c>
      <c r="K1774" s="24" t="n">
        <v>73.3</v>
      </c>
      <c r="L1774" s="4" t="n">
        <v>13</v>
      </c>
      <c r="M1774" s="4" t="inlineStr">
        <is>
          <t>media</t>
        </is>
      </c>
      <c r="N1774" s="4" t="inlineStr">
        <is>
          <t>en linea con comparables</t>
        </is>
      </c>
      <c r="O1774" s="4" t="n"/>
    </row>
    <row r="1775">
      <c r="A1775" s="4" t="inlineStr">
        <is>
          <t>MD-1024</t>
        </is>
      </c>
      <c r="B1775" s="21" t="n">
        <v>46223</v>
      </c>
      <c r="C1775" s="4" t="inlineStr">
        <is>
          <t>Chamartin</t>
        </is>
      </c>
      <c r="D1775" s="4" t="n">
        <v>53</v>
      </c>
      <c r="E1775" s="4" t="inlineStr">
        <is>
          <t>buen estado</t>
        </is>
      </c>
      <c r="F1775" s="22" t="n">
        <v>341000</v>
      </c>
      <c r="G1775" s="23" t="n">
        <v>6433.96</v>
      </c>
      <c r="H1775" s="22" t="n">
        <v>428518</v>
      </c>
      <c r="I1775" s="23" t="n">
        <v>8085.24</v>
      </c>
      <c r="J1775" s="18" t="n">
        <v>-0.2042</v>
      </c>
      <c r="K1775" s="24" t="n">
        <v>100</v>
      </c>
      <c r="L1775" s="4" t="n">
        <v>8</v>
      </c>
      <c r="M1775" s="4" t="inlineStr">
        <is>
          <t>media</t>
        </is>
      </c>
      <c r="N1775" s="4" t="inlineStr">
        <is>
          <t>por debajo de comparables</t>
        </is>
      </c>
      <c r="O1775" s="4" t="n"/>
    </row>
    <row r="1776">
      <c r="A1776" s="4" t="inlineStr">
        <is>
          <t>MD-0302</t>
        </is>
      </c>
      <c r="B1776" s="21" t="n">
        <v>46223</v>
      </c>
      <c r="C1776" s="4" t="inlineStr">
        <is>
          <t>Moncloa-Aravaca</t>
        </is>
      </c>
      <c r="D1776" s="4" t="n">
        <v>49</v>
      </c>
      <c r="E1776" s="4" t="inlineStr">
        <is>
          <t>a reformar</t>
        </is>
      </c>
      <c r="F1776" s="22" t="n">
        <v>294000</v>
      </c>
      <c r="G1776" s="23" t="n">
        <v>6000</v>
      </c>
      <c r="H1776" s="22" t="n"/>
      <c r="I1776" s="23" t="n"/>
      <c r="J1776" s="18" t="n"/>
      <c r="K1776" s="24" t="n"/>
      <c r="L1776" s="4" t="n">
        <v>4</v>
      </c>
      <c r="M1776" s="4" t="inlineStr">
        <is>
          <t>sin muestra</t>
        </is>
      </c>
      <c r="N1776" s="4" t="inlineStr">
        <is>
          <t>no valorable</t>
        </is>
      </c>
      <c r="O1776" s="4" t="inlineStr">
        <is>
          <t>segmento con pocas operaciones comparables</t>
        </is>
      </c>
    </row>
    <row r="1777">
      <c r="A1777" s="4" t="inlineStr">
        <is>
          <t>MD-0271</t>
        </is>
      </c>
      <c r="B1777" s="21" t="n">
        <v>46223</v>
      </c>
      <c r="C1777" s="4" t="inlineStr">
        <is>
          <t>Moratalaz</t>
        </is>
      </c>
      <c r="D1777" s="4" t="n">
        <v>77</v>
      </c>
      <c r="E1777" s="4" t="inlineStr">
        <is>
          <t>reformado</t>
        </is>
      </c>
      <c r="F1777" s="22" t="n">
        <v>281000</v>
      </c>
      <c r="G1777" s="23" t="n">
        <v>3649.35</v>
      </c>
      <c r="H1777" s="22" t="n">
        <v>313795</v>
      </c>
      <c r="I1777" s="23" t="n">
        <v>4075.26</v>
      </c>
      <c r="J1777" s="18" t="n">
        <v>-0.1045</v>
      </c>
      <c r="K1777" s="24" t="n">
        <v>76.09999999999999</v>
      </c>
      <c r="L1777" s="4" t="n">
        <v>22</v>
      </c>
      <c r="M1777" s="4" t="inlineStr">
        <is>
          <t>media</t>
        </is>
      </c>
      <c r="N1777" s="4" t="inlineStr">
        <is>
          <t>por debajo de comparables</t>
        </is>
      </c>
      <c r="O1777" s="4" t="n"/>
    </row>
    <row r="1778">
      <c r="A1778" s="4" t="inlineStr">
        <is>
          <t>MD-1345</t>
        </is>
      </c>
      <c r="B1778" s="21" t="n">
        <v>46223</v>
      </c>
      <c r="C1778" s="4" t="inlineStr">
        <is>
          <t>Ciudad Lineal</t>
        </is>
      </c>
      <c r="D1778" s="4" t="n">
        <v>60</v>
      </c>
      <c r="E1778" s="4" t="inlineStr">
        <is>
          <t>buen estado</t>
        </is>
      </c>
      <c r="F1778" s="22" t="n">
        <v>206000</v>
      </c>
      <c r="G1778" s="23" t="n">
        <v>3433.33</v>
      </c>
      <c r="H1778" s="22" t="n">
        <v>228582</v>
      </c>
      <c r="I1778" s="23" t="n">
        <v>3809.7</v>
      </c>
      <c r="J1778" s="18" t="n">
        <v>-0.0988</v>
      </c>
      <c r="K1778" s="24" t="n">
        <v>74.7</v>
      </c>
      <c r="L1778" s="4" t="n">
        <v>38</v>
      </c>
      <c r="M1778" s="4" t="inlineStr">
        <is>
          <t>alta</t>
        </is>
      </c>
      <c r="N1778" s="4" t="inlineStr">
        <is>
          <t>en linea con comparables</t>
        </is>
      </c>
      <c r="O1778" s="4" t="n"/>
    </row>
    <row r="1779">
      <c r="A1779" s="4" t="inlineStr">
        <is>
          <t>MD-0717</t>
        </is>
      </c>
      <c r="B1779" s="21" t="n">
        <v>46223</v>
      </c>
      <c r="C1779" s="4" t="inlineStr">
        <is>
          <t>Vicalvaro</t>
        </is>
      </c>
      <c r="D1779" s="4" t="n">
        <v>80</v>
      </c>
      <c r="E1779" s="4" t="inlineStr">
        <is>
          <t>reformado</t>
        </is>
      </c>
      <c r="F1779" s="22" t="n">
        <v>303000</v>
      </c>
      <c r="G1779" s="23" t="n">
        <v>3787.5</v>
      </c>
      <c r="H1779" s="22" t="n">
        <v>315081</v>
      </c>
      <c r="I1779" s="23" t="n">
        <v>3938.51</v>
      </c>
      <c r="J1779" s="18" t="n">
        <v>-0.0383</v>
      </c>
      <c r="K1779" s="24" t="n">
        <v>59.6</v>
      </c>
      <c r="L1779" s="4" t="n">
        <v>25</v>
      </c>
      <c r="M1779" s="4" t="inlineStr">
        <is>
          <t>media</t>
        </is>
      </c>
      <c r="N1779" s="4" t="inlineStr">
        <is>
          <t>en linea con comparables</t>
        </is>
      </c>
      <c r="O1779" s="4" t="n"/>
    </row>
    <row r="1780">
      <c r="A1780" s="4" t="inlineStr">
        <is>
          <t>MD-1810</t>
        </is>
      </c>
      <c r="B1780" s="21" t="n">
        <v>46224</v>
      </c>
      <c r="C1780" s="4" t="inlineStr">
        <is>
          <t>Retiro</t>
        </is>
      </c>
      <c r="D1780" s="4" t="n">
        <v>149</v>
      </c>
      <c r="E1780" s="4" t="inlineStr">
        <is>
          <t>buen estado</t>
        </is>
      </c>
      <c r="F1780" s="22" t="n">
        <v>995000</v>
      </c>
      <c r="G1780" s="23" t="n">
        <v>6677.85</v>
      </c>
      <c r="H1780" s="22" t="n">
        <v>879220</v>
      </c>
      <c r="I1780" s="23" t="n">
        <v>5900.81</v>
      </c>
      <c r="J1780" s="18" t="n">
        <v>0.1317</v>
      </c>
      <c r="K1780" s="24" t="n">
        <v>17.1</v>
      </c>
      <c r="L1780" s="4" t="n">
        <v>16</v>
      </c>
      <c r="M1780" s="4" t="inlineStr">
        <is>
          <t>media</t>
        </is>
      </c>
      <c r="N1780" s="4" t="inlineStr">
        <is>
          <t>por encima de comparables</t>
        </is>
      </c>
      <c r="O1780" s="4" t="n"/>
    </row>
    <row r="1781">
      <c r="A1781" s="4" t="inlineStr">
        <is>
          <t>MD-0730</t>
        </is>
      </c>
      <c r="B1781" s="21" t="n">
        <v>46224</v>
      </c>
      <c r="C1781" s="4" t="inlineStr">
        <is>
          <t>Chamberi</t>
        </is>
      </c>
      <c r="D1781" s="4" t="n">
        <v>153</v>
      </c>
      <c r="E1781" s="4" t="inlineStr">
        <is>
          <t>buen estado</t>
        </is>
      </c>
      <c r="F1781" s="22" t="n">
        <v>1717000</v>
      </c>
      <c r="G1781" s="23" t="n">
        <v>11222.22</v>
      </c>
      <c r="H1781" s="22" t="n">
        <v>1256927</v>
      </c>
      <c r="I1781" s="23" t="n">
        <v>8215.209999999999</v>
      </c>
      <c r="J1781" s="18" t="n">
        <v>0.366</v>
      </c>
      <c r="K1781" s="24" t="n">
        <v>0</v>
      </c>
      <c r="L1781" s="4" t="n">
        <v>17</v>
      </c>
      <c r="M1781" s="4" t="inlineStr">
        <is>
          <t>alta</t>
        </is>
      </c>
      <c r="N1781" s="4" t="inlineStr">
        <is>
          <t>por encima de comparables</t>
        </is>
      </c>
      <c r="O1781" s="4" t="n"/>
    </row>
    <row r="1782">
      <c r="A1782" s="4" t="inlineStr">
        <is>
          <t>MD-0450</t>
        </is>
      </c>
      <c r="B1782" s="21" t="n">
        <v>46224</v>
      </c>
      <c r="C1782" s="4" t="inlineStr">
        <is>
          <t>Centro</t>
        </is>
      </c>
      <c r="D1782" s="4" t="n">
        <v>78</v>
      </c>
      <c r="E1782" s="4" t="inlineStr">
        <is>
          <t>reformado</t>
        </is>
      </c>
      <c r="F1782" s="22" t="n">
        <v>587000</v>
      </c>
      <c r="G1782" s="23" t="n">
        <v>7525.64</v>
      </c>
      <c r="H1782" s="22" t="n">
        <v>540359</v>
      </c>
      <c r="I1782" s="23" t="n">
        <v>6927.68</v>
      </c>
      <c r="J1782" s="18" t="n">
        <v>0.0863</v>
      </c>
      <c r="K1782" s="24" t="n">
        <v>28.4</v>
      </c>
      <c r="L1782" s="4" t="n">
        <v>23</v>
      </c>
      <c r="M1782" s="4" t="inlineStr">
        <is>
          <t>media</t>
        </is>
      </c>
      <c r="N1782" s="4" t="inlineStr">
        <is>
          <t>en linea con comparables</t>
        </is>
      </c>
      <c r="O1782" s="4" t="n"/>
    </row>
    <row r="1783">
      <c r="A1783" s="4" t="inlineStr">
        <is>
          <t>MD-1632</t>
        </is>
      </c>
      <c r="B1783" s="21" t="n">
        <v>46224</v>
      </c>
      <c r="C1783" s="4" t="inlineStr">
        <is>
          <t>Puente de Vallecas</t>
        </is>
      </c>
      <c r="D1783" s="4" t="n">
        <v>41</v>
      </c>
      <c r="E1783" s="4" t="inlineStr">
        <is>
          <t>a reformar</t>
        </is>
      </c>
      <c r="F1783" s="22" t="n">
        <v>82000</v>
      </c>
      <c r="G1783" s="23" t="n">
        <v>2000</v>
      </c>
      <c r="H1783" s="22" t="n">
        <v>90222</v>
      </c>
      <c r="I1783" s="23" t="n">
        <v>2200.53</v>
      </c>
      <c r="J1783" s="18" t="n">
        <v>-0.0911</v>
      </c>
      <c r="K1783" s="24" t="n">
        <v>72.8</v>
      </c>
      <c r="L1783" s="4" t="n">
        <v>35</v>
      </c>
      <c r="M1783" s="4" t="inlineStr">
        <is>
          <t>alta</t>
        </is>
      </c>
      <c r="N1783" s="4" t="inlineStr">
        <is>
          <t>en linea con comparables</t>
        </is>
      </c>
      <c r="O1783" s="4" t="n"/>
    </row>
    <row r="1784">
      <c r="A1784" s="4" t="inlineStr">
        <is>
          <t>MD-0075</t>
        </is>
      </c>
      <c r="B1784" s="21" t="n">
        <v>46224</v>
      </c>
      <c r="C1784" s="4" t="inlineStr">
        <is>
          <t>Latina</t>
        </is>
      </c>
      <c r="D1784" s="4" t="n">
        <v>64</v>
      </c>
      <c r="E1784" s="4" t="inlineStr">
        <is>
          <t>a reformar</t>
        </is>
      </c>
      <c r="F1784" s="22" t="n">
        <v>153000</v>
      </c>
      <c r="G1784" s="23" t="n">
        <v>2390.62</v>
      </c>
      <c r="H1784" s="22" t="n">
        <v>165818</v>
      </c>
      <c r="I1784" s="23" t="n">
        <v>2590.91</v>
      </c>
      <c r="J1784" s="18" t="n">
        <v>-0.07729999999999999</v>
      </c>
      <c r="K1784" s="24" t="n">
        <v>69.3</v>
      </c>
      <c r="L1784" s="4" t="n">
        <v>45</v>
      </c>
      <c r="M1784" s="4" t="inlineStr">
        <is>
          <t>media</t>
        </is>
      </c>
      <c r="N1784" s="4" t="inlineStr">
        <is>
          <t>en linea con comparables</t>
        </is>
      </c>
      <c r="O1784" s="4" t="n"/>
    </row>
    <row r="1785">
      <c r="A1785" s="4" t="inlineStr">
        <is>
          <t>MD-0444</t>
        </is>
      </c>
      <c r="B1785" s="21" t="n">
        <v>46225</v>
      </c>
      <c r="C1785" s="4" t="inlineStr">
        <is>
          <t>Hortaleza</t>
        </is>
      </c>
      <c r="D1785" s="4" t="n">
        <v>112</v>
      </c>
      <c r="E1785" s="4" t="inlineStr">
        <is>
          <t>buen estado</t>
        </is>
      </c>
      <c r="F1785" s="22" t="n">
        <v>509000</v>
      </c>
      <c r="G1785" s="23" t="n">
        <v>4544.64</v>
      </c>
      <c r="H1785" s="22" t="n">
        <v>545129</v>
      </c>
      <c r="I1785" s="23" t="n">
        <v>4867.23</v>
      </c>
      <c r="J1785" s="18" t="n">
        <v>-0.0663</v>
      </c>
      <c r="K1785" s="24" t="n">
        <v>66.59999999999999</v>
      </c>
      <c r="L1785" s="4" t="n">
        <v>34</v>
      </c>
      <c r="M1785" s="4" t="inlineStr">
        <is>
          <t>alta</t>
        </is>
      </c>
      <c r="N1785" s="4" t="inlineStr">
        <is>
          <t>en linea con comparables</t>
        </is>
      </c>
      <c r="O1785" s="4" t="n"/>
    </row>
    <row r="1786">
      <c r="A1786" s="4" t="inlineStr">
        <is>
          <t>MD-0248</t>
        </is>
      </c>
      <c r="B1786" s="21" t="n">
        <v>46225</v>
      </c>
      <c r="C1786" s="4" t="inlineStr">
        <is>
          <t>Puente de Vallecas</t>
        </is>
      </c>
      <c r="D1786" s="4" t="n">
        <v>39</v>
      </c>
      <c r="E1786" s="4" t="inlineStr">
        <is>
          <t>buen estado</t>
        </is>
      </c>
      <c r="F1786" s="22" t="n">
        <v>105000</v>
      </c>
      <c r="G1786" s="23" t="n">
        <v>2692.31</v>
      </c>
      <c r="H1786" s="22" t="n">
        <v>112656</v>
      </c>
      <c r="I1786" s="23" t="n">
        <v>2888.61</v>
      </c>
      <c r="J1786" s="18" t="n">
        <v>-0.068</v>
      </c>
      <c r="K1786" s="24" t="n">
        <v>67</v>
      </c>
      <c r="L1786" s="4" t="n">
        <v>35</v>
      </c>
      <c r="M1786" s="4" t="inlineStr">
        <is>
          <t>alta</t>
        </is>
      </c>
      <c r="N1786" s="4" t="inlineStr">
        <is>
          <t>en linea con comparables</t>
        </is>
      </c>
      <c r="O1786" s="4" t="n"/>
    </row>
    <row r="1787">
      <c r="A1787" s="4" t="inlineStr">
        <is>
          <t>MD-1948</t>
        </is>
      </c>
      <c r="B1787" s="21" t="n">
        <v>46225</v>
      </c>
      <c r="C1787" s="4" t="inlineStr">
        <is>
          <t>Latina</t>
        </is>
      </c>
      <c r="D1787" s="4" t="n">
        <v>93</v>
      </c>
      <c r="E1787" s="4" t="inlineStr">
        <is>
          <t>obra nueva</t>
        </is>
      </c>
      <c r="F1787" s="22" t="n">
        <v>302000</v>
      </c>
      <c r="G1787" s="23" t="n">
        <v>3247.31</v>
      </c>
      <c r="H1787" s="22" t="n">
        <v>334361</v>
      </c>
      <c r="I1787" s="23" t="n">
        <v>3595.28</v>
      </c>
      <c r="J1787" s="18" t="n">
        <v>-0.0968</v>
      </c>
      <c r="K1787" s="24" t="n">
        <v>74.2</v>
      </c>
      <c r="L1787" s="4" t="n">
        <v>17</v>
      </c>
      <c r="M1787" s="4" t="inlineStr">
        <is>
          <t>alta</t>
        </is>
      </c>
      <c r="N1787" s="4" t="inlineStr">
        <is>
          <t>en linea con comparables</t>
        </is>
      </c>
      <c r="O1787" s="4" t="n"/>
    </row>
    <row r="1788">
      <c r="A1788" s="4" t="inlineStr">
        <is>
          <t>MD-1571</t>
        </is>
      </c>
      <c r="B1788" s="21" t="n">
        <v>46225</v>
      </c>
      <c r="C1788" s="4" t="inlineStr">
        <is>
          <t>Villa de Vallecas</t>
        </is>
      </c>
      <c r="D1788" s="4" t="n">
        <v>55</v>
      </c>
      <c r="E1788" s="4" t="inlineStr">
        <is>
          <t>obra nueva</t>
        </is>
      </c>
      <c r="F1788" s="22" t="n">
        <v>276000</v>
      </c>
      <c r="G1788" s="23" t="n">
        <v>5018.18</v>
      </c>
      <c r="H1788" s="22" t="n">
        <v>230482</v>
      </c>
      <c r="I1788" s="23" t="n">
        <v>4190.59</v>
      </c>
      <c r="J1788" s="18" t="n">
        <v>0.1975</v>
      </c>
      <c r="K1788" s="24" t="n">
        <v>0.6</v>
      </c>
      <c r="L1788" s="4" t="n">
        <v>19</v>
      </c>
      <c r="M1788" s="4" t="inlineStr">
        <is>
          <t>media</t>
        </is>
      </c>
      <c r="N1788" s="4" t="inlineStr">
        <is>
          <t>por encima de comparables</t>
        </is>
      </c>
      <c r="O1788" s="4" t="n"/>
    </row>
    <row r="1789">
      <c r="A1789" s="4" t="inlineStr">
        <is>
          <t>MD-0779</t>
        </is>
      </c>
      <c r="B1789" s="21" t="n">
        <v>46225</v>
      </c>
      <c r="C1789" s="4" t="inlineStr">
        <is>
          <t>Moncloa-Aravaca</t>
        </is>
      </c>
      <c r="D1789" s="4" t="n">
        <v>59</v>
      </c>
      <c r="E1789" s="4" t="inlineStr">
        <is>
          <t>buen estado</t>
        </is>
      </c>
      <c r="F1789" s="22" t="n">
        <v>282000</v>
      </c>
      <c r="G1789" s="23" t="n">
        <v>4779.66</v>
      </c>
      <c r="H1789" s="22" t="n">
        <v>317993</v>
      </c>
      <c r="I1789" s="23" t="n">
        <v>5389.71</v>
      </c>
      <c r="J1789" s="18" t="n">
        <v>-0.1132</v>
      </c>
      <c r="K1789" s="24" t="n">
        <v>78.3</v>
      </c>
      <c r="L1789" s="4" t="n">
        <v>8</v>
      </c>
      <c r="M1789" s="4" t="inlineStr">
        <is>
          <t>media</t>
        </is>
      </c>
      <c r="N1789" s="4" t="inlineStr">
        <is>
          <t>por debajo de comparables</t>
        </is>
      </c>
      <c r="O1789" s="4" t="n"/>
    </row>
    <row r="1790">
      <c r="A1790" s="4" t="inlineStr">
        <is>
          <t>MD-1480</t>
        </is>
      </c>
      <c r="B1790" s="21" t="n">
        <v>46225</v>
      </c>
      <c r="C1790" s="4" t="inlineStr">
        <is>
          <t>Arganzuela</t>
        </is>
      </c>
      <c r="D1790" s="4" t="n">
        <v>43</v>
      </c>
      <c r="E1790" s="4" t="inlineStr">
        <is>
          <t>buen estado</t>
        </is>
      </c>
      <c r="F1790" s="22" t="n">
        <v>213000</v>
      </c>
      <c r="G1790" s="23" t="n">
        <v>4953.49</v>
      </c>
      <c r="H1790" s="22" t="n">
        <v>284630</v>
      </c>
      <c r="I1790" s="23" t="n">
        <v>6619.31</v>
      </c>
      <c r="J1790" s="18" t="n">
        <v>-0.2517</v>
      </c>
      <c r="K1790" s="24" t="n">
        <v>100</v>
      </c>
      <c r="L1790" s="4" t="n">
        <v>5</v>
      </c>
      <c r="M1790" s="4" t="inlineStr">
        <is>
          <t>baja</t>
        </is>
      </c>
      <c r="N1790" s="4" t="inlineStr">
        <is>
          <t>por debajo de comparables</t>
        </is>
      </c>
      <c r="O1790" s="4" t="n"/>
    </row>
    <row r="1791">
      <c r="A1791" s="4" t="inlineStr">
        <is>
          <t>MD-1387</t>
        </is>
      </c>
      <c r="B1791" s="21" t="n">
        <v>46225</v>
      </c>
      <c r="C1791" s="4" t="inlineStr">
        <is>
          <t>Centro</t>
        </is>
      </c>
      <c r="D1791" s="4" t="n">
        <v>47</v>
      </c>
      <c r="E1791" s="4" t="inlineStr">
        <is>
          <t>buen estado</t>
        </is>
      </c>
      <c r="F1791" s="22" t="n">
        <v>281000</v>
      </c>
      <c r="G1791" s="23" t="n">
        <v>5978.72</v>
      </c>
      <c r="H1791" s="22" t="n">
        <v>356349</v>
      </c>
      <c r="I1791" s="23" t="n">
        <v>7581.89</v>
      </c>
      <c r="J1791" s="18" t="n">
        <v>-0.2114</v>
      </c>
      <c r="K1791" s="24" t="n">
        <v>100</v>
      </c>
      <c r="L1791" s="4" t="n">
        <v>24</v>
      </c>
      <c r="M1791" s="4" t="inlineStr">
        <is>
          <t>alta</t>
        </is>
      </c>
      <c r="N1791" s="4" t="inlineStr">
        <is>
          <t>por debajo de comparables</t>
        </is>
      </c>
      <c r="O1791" s="4" t="n"/>
    </row>
    <row r="1792">
      <c r="A1792" s="4" t="inlineStr">
        <is>
          <t>MD-0640</t>
        </is>
      </c>
      <c r="B1792" s="21" t="n">
        <v>46225</v>
      </c>
      <c r="C1792" s="4" t="inlineStr">
        <is>
          <t>Ciudad Lineal</t>
        </is>
      </c>
      <c r="D1792" s="4" t="n">
        <v>91</v>
      </c>
      <c r="E1792" s="4" t="inlineStr">
        <is>
          <t>obra nueva</t>
        </is>
      </c>
      <c r="F1792" s="22" t="n">
        <v>454000</v>
      </c>
      <c r="G1792" s="23" t="n">
        <v>4989.01</v>
      </c>
      <c r="H1792" s="22" t="n">
        <v>497314</v>
      </c>
      <c r="I1792" s="23" t="n">
        <v>5464.99</v>
      </c>
      <c r="J1792" s="18" t="n">
        <v>-0.0871</v>
      </c>
      <c r="K1792" s="24" t="n">
        <v>71.8</v>
      </c>
      <c r="L1792" s="4" t="n">
        <v>33</v>
      </c>
      <c r="M1792" s="4" t="inlineStr">
        <is>
          <t>alta</t>
        </is>
      </c>
      <c r="N1792" s="4" t="inlineStr">
        <is>
          <t>en linea con comparables</t>
        </is>
      </c>
      <c r="O1792" s="4" t="n"/>
    </row>
    <row r="1793">
      <c r="A1793" s="4" t="inlineStr">
        <is>
          <t>MD-0527</t>
        </is>
      </c>
      <c r="B1793" s="21" t="n">
        <v>46225</v>
      </c>
      <c r="C1793" s="4" t="inlineStr">
        <is>
          <t>Carabanchel</t>
        </is>
      </c>
      <c r="D1793" s="4" t="n">
        <v>70</v>
      </c>
      <c r="E1793" s="4" t="inlineStr">
        <is>
          <t>a reformar</t>
        </is>
      </c>
      <c r="F1793" s="22" t="n">
        <v>167000</v>
      </c>
      <c r="G1793" s="23" t="n">
        <v>2385.71</v>
      </c>
      <c r="H1793" s="22" t="n">
        <v>153960</v>
      </c>
      <c r="I1793" s="23" t="n">
        <v>2199.42</v>
      </c>
      <c r="J1793" s="18" t="n">
        <v>0.0847</v>
      </c>
      <c r="K1793" s="24" t="n">
        <v>28.8</v>
      </c>
      <c r="L1793" s="4" t="n">
        <v>46</v>
      </c>
      <c r="M1793" s="4" t="inlineStr">
        <is>
          <t>media</t>
        </is>
      </c>
      <c r="N1793" s="4" t="inlineStr">
        <is>
          <t>en linea con comparables</t>
        </is>
      </c>
      <c r="O1793" s="4" t="n"/>
    </row>
    <row r="1794">
      <c r="A1794" s="4" t="inlineStr">
        <is>
          <t>MD-0227</t>
        </is>
      </c>
      <c r="B1794" s="21" t="n">
        <v>46226</v>
      </c>
      <c r="C1794" s="4" t="inlineStr">
        <is>
          <t>Salamanca</t>
        </is>
      </c>
      <c r="D1794" s="4" t="n">
        <v>30</v>
      </c>
      <c r="E1794" s="4" t="inlineStr">
        <is>
          <t>buen estado</t>
        </is>
      </c>
      <c r="F1794" s="22" t="n">
        <v>240000</v>
      </c>
      <c r="G1794" s="23" t="n">
        <v>8000</v>
      </c>
      <c r="H1794" s="22" t="n">
        <v>237363</v>
      </c>
      <c r="I1794" s="23" t="n">
        <v>7912.08</v>
      </c>
      <c r="J1794" s="18" t="n">
        <v>0.0111</v>
      </c>
      <c r="K1794" s="24" t="n">
        <v>47.2</v>
      </c>
      <c r="L1794" s="4" t="n">
        <v>6</v>
      </c>
      <c r="M1794" s="4" t="inlineStr">
        <is>
          <t>baja</t>
        </is>
      </c>
      <c r="N1794" s="4" t="inlineStr">
        <is>
          <t>en linea con comparables</t>
        </is>
      </c>
      <c r="O1794" s="4" t="n"/>
    </row>
    <row r="1795">
      <c r="A1795" s="4" t="inlineStr">
        <is>
          <t>MD-0922</t>
        </is>
      </c>
      <c r="B1795" s="21" t="n">
        <v>46226</v>
      </c>
      <c r="C1795" s="4" t="inlineStr">
        <is>
          <t>Hortaleza</t>
        </is>
      </c>
      <c r="D1795" s="4" t="n">
        <v>145</v>
      </c>
      <c r="E1795" s="4" t="inlineStr">
        <is>
          <t>buen estado</t>
        </is>
      </c>
      <c r="F1795" s="22" t="n">
        <v>822000</v>
      </c>
      <c r="G1795" s="23" t="n">
        <v>5668.97</v>
      </c>
      <c r="H1795" s="22" t="n">
        <v>781867</v>
      </c>
      <c r="I1795" s="23" t="n">
        <v>5392.18</v>
      </c>
      <c r="J1795" s="18" t="n">
        <v>0.0513</v>
      </c>
      <c r="K1795" s="24" t="n">
        <v>37.2</v>
      </c>
      <c r="L1795" s="4" t="n">
        <v>38</v>
      </c>
      <c r="M1795" s="4" t="inlineStr">
        <is>
          <t>alta</t>
        </is>
      </c>
      <c r="N1795" s="4" t="inlineStr">
        <is>
          <t>en linea con comparables</t>
        </is>
      </c>
      <c r="O1795" s="4" t="n"/>
    </row>
    <row r="1796">
      <c r="A1796" s="4" t="inlineStr">
        <is>
          <t>MD-1765</t>
        </is>
      </c>
      <c r="B1796" s="21" t="n">
        <v>46227</v>
      </c>
      <c r="C1796" s="4" t="inlineStr">
        <is>
          <t>Chamartin</t>
        </is>
      </c>
      <c r="D1796" s="4" t="n">
        <v>80</v>
      </c>
      <c r="E1796" s="4" t="inlineStr">
        <is>
          <t>buen estado</t>
        </is>
      </c>
      <c r="F1796" s="22" t="n">
        <v>330000</v>
      </c>
      <c r="G1796" s="23" t="n">
        <v>4125</v>
      </c>
      <c r="H1796" s="22" t="n">
        <v>564534</v>
      </c>
      <c r="I1796" s="23" t="n">
        <v>7056.68</v>
      </c>
      <c r="J1796" s="18" t="n">
        <v>-0.4154</v>
      </c>
      <c r="K1796" s="24" t="n">
        <v>100</v>
      </c>
      <c r="L1796" s="4" t="n">
        <v>23</v>
      </c>
      <c r="M1796" s="4" t="inlineStr">
        <is>
          <t>alta</t>
        </is>
      </c>
      <c r="N1796" s="4" t="inlineStr">
        <is>
          <t>por debajo de comparables</t>
        </is>
      </c>
      <c r="O1796" s="4" t="n"/>
    </row>
    <row r="1797">
      <c r="A1797" s="4" t="inlineStr">
        <is>
          <t>MD-1468</t>
        </is>
      </c>
      <c r="B1797" s="21" t="n">
        <v>46227</v>
      </c>
      <c r="C1797" s="4" t="inlineStr">
        <is>
          <t>Vicalvaro</t>
        </is>
      </c>
      <c r="D1797" s="4" t="n">
        <v>71</v>
      </c>
      <c r="E1797" s="4" t="inlineStr">
        <is>
          <t>buen estado</t>
        </is>
      </c>
      <c r="F1797" s="22" t="n">
        <v>263000</v>
      </c>
      <c r="G1797" s="23" t="n">
        <v>3704.23</v>
      </c>
      <c r="H1797" s="22" t="n">
        <v>229391</v>
      </c>
      <c r="I1797" s="23" t="n">
        <v>3230.86</v>
      </c>
      <c r="J1797" s="18" t="n">
        <v>0.1465</v>
      </c>
      <c r="K1797" s="24" t="n">
        <v>13.4</v>
      </c>
      <c r="L1797" s="4" t="n">
        <v>27</v>
      </c>
      <c r="M1797" s="4" t="inlineStr">
        <is>
          <t>media</t>
        </is>
      </c>
      <c r="N1797" s="4" t="inlineStr">
        <is>
          <t>por encima de comparables</t>
        </is>
      </c>
      <c r="O1797" s="4" t="n"/>
    </row>
    <row r="1798">
      <c r="A1798" s="4" t="inlineStr">
        <is>
          <t>MD-1256</t>
        </is>
      </c>
      <c r="B1798" s="21" t="n">
        <v>46227</v>
      </c>
      <c r="C1798" s="4" t="inlineStr">
        <is>
          <t>Hortaleza</t>
        </is>
      </c>
      <c r="D1798" s="4" t="n">
        <v>112</v>
      </c>
      <c r="E1798" s="4" t="inlineStr">
        <is>
          <t>a reformar</t>
        </is>
      </c>
      <c r="F1798" s="22" t="n">
        <v>513000</v>
      </c>
      <c r="G1798" s="23" t="n">
        <v>4580.36</v>
      </c>
      <c r="H1798" s="22" t="n">
        <v>520013</v>
      </c>
      <c r="I1798" s="23" t="n">
        <v>4642.97</v>
      </c>
      <c r="J1798" s="18" t="n">
        <v>-0.0135</v>
      </c>
      <c r="K1798" s="24" t="n">
        <v>53.4</v>
      </c>
      <c r="L1798" s="4" t="n">
        <v>35</v>
      </c>
      <c r="M1798" s="4" t="inlineStr">
        <is>
          <t>alta</t>
        </is>
      </c>
      <c r="N1798" s="4" t="inlineStr">
        <is>
          <t>en linea con comparables</t>
        </is>
      </c>
      <c r="O1798" s="4" t="n"/>
    </row>
    <row r="1799">
      <c r="A1799" s="4" t="inlineStr">
        <is>
          <t>MD-0734</t>
        </is>
      </c>
      <c r="B1799" s="21" t="n">
        <v>46227</v>
      </c>
      <c r="C1799" s="4" t="inlineStr">
        <is>
          <t>Salamanca</t>
        </is>
      </c>
      <c r="D1799" s="4" t="n">
        <v>78</v>
      </c>
      <c r="E1799" s="4" t="inlineStr">
        <is>
          <t>a reformar</t>
        </is>
      </c>
      <c r="F1799" s="22" t="n">
        <v>575000</v>
      </c>
      <c r="G1799" s="23" t="n">
        <v>7371.79</v>
      </c>
      <c r="H1799" s="22" t="n">
        <v>579934</v>
      </c>
      <c r="I1799" s="23" t="n">
        <v>7435.05</v>
      </c>
      <c r="J1799" s="18" t="n">
        <v>-0.008500000000000001</v>
      </c>
      <c r="K1799" s="24" t="n">
        <v>52.1</v>
      </c>
      <c r="L1799" s="4" t="n">
        <v>19</v>
      </c>
      <c r="M1799" s="4" t="inlineStr">
        <is>
          <t>media</t>
        </is>
      </c>
      <c r="N1799" s="4" t="inlineStr">
        <is>
          <t>en linea con comparables</t>
        </is>
      </c>
      <c r="O1799" s="4" t="n"/>
    </row>
    <row r="1800">
      <c r="A1800" s="4" t="inlineStr">
        <is>
          <t>MD-1592</t>
        </is>
      </c>
      <c r="B1800" s="21" t="n">
        <v>46227</v>
      </c>
      <c r="C1800" s="4" t="inlineStr">
        <is>
          <t>Carabanchel</t>
        </is>
      </c>
      <c r="D1800" s="4" t="n">
        <v>45</v>
      </c>
      <c r="E1800" s="4" t="inlineStr">
        <is>
          <t>buen estado</t>
        </is>
      </c>
      <c r="F1800" s="22" t="n">
        <v>188000</v>
      </c>
      <c r="G1800" s="23" t="n">
        <v>4177.78</v>
      </c>
      <c r="H1800" s="22" t="n">
        <v>156295</v>
      </c>
      <c r="I1800" s="23" t="n">
        <v>3473.22</v>
      </c>
      <c r="J1800" s="18" t="n">
        <v>0.2029</v>
      </c>
      <c r="K1800" s="24" t="n">
        <v>0</v>
      </c>
      <c r="L1800" s="4" t="n">
        <v>30</v>
      </c>
      <c r="M1800" s="4" t="inlineStr">
        <is>
          <t>alta</t>
        </is>
      </c>
      <c r="N1800" s="4" t="inlineStr">
        <is>
          <t>por encima de comparables</t>
        </is>
      </c>
      <c r="O1800" s="4" t="n"/>
    </row>
    <row r="1801">
      <c r="A1801" s="4" t="inlineStr">
        <is>
          <t>MD-0761</t>
        </is>
      </c>
      <c r="B1801" s="21" t="n">
        <v>46227</v>
      </c>
      <c r="C1801" s="4" t="inlineStr">
        <is>
          <t>Ciudad Lineal</t>
        </is>
      </c>
      <c r="D1801" s="4" t="n">
        <v>72</v>
      </c>
      <c r="E1801" s="4" t="inlineStr">
        <is>
          <t>buen estado</t>
        </is>
      </c>
      <c r="F1801" s="22" t="n">
        <v>397000</v>
      </c>
      <c r="G1801" s="23" t="n">
        <v>5513.89</v>
      </c>
      <c r="H1801" s="22" t="n">
        <v>348022</v>
      </c>
      <c r="I1801" s="23" t="n">
        <v>4833.64</v>
      </c>
      <c r="J1801" s="18" t="n">
        <v>0.1407</v>
      </c>
      <c r="K1801" s="24" t="n">
        <v>14.8</v>
      </c>
      <c r="L1801" s="4" t="n">
        <v>40</v>
      </c>
      <c r="M1801" s="4" t="inlineStr">
        <is>
          <t>alta</t>
        </is>
      </c>
      <c r="N1801" s="4" t="inlineStr">
        <is>
          <t>por encima de comparables</t>
        </is>
      </c>
      <c r="O1801" s="4" t="n"/>
    </row>
    <row r="1802">
      <c r="A1802" s="4" t="inlineStr">
        <is>
          <t>MD-1837</t>
        </is>
      </c>
      <c r="B1802" s="21" t="n">
        <v>46227</v>
      </c>
      <c r="C1802" s="4" t="inlineStr">
        <is>
          <t>Ciudad Lineal</t>
        </is>
      </c>
      <c r="D1802" s="4" t="n">
        <v>186</v>
      </c>
      <c r="E1802" s="4" t="inlineStr">
        <is>
          <t>reformado</t>
        </is>
      </c>
      <c r="F1802" s="22" t="n">
        <v>695000</v>
      </c>
      <c r="G1802" s="23" t="n">
        <v>3736.56</v>
      </c>
      <c r="H1802" s="22" t="n"/>
      <c r="I1802" s="23" t="n"/>
      <c r="J1802" s="18" t="n"/>
      <c r="K1802" s="24" t="n"/>
      <c r="L1802" s="4" t="n">
        <v>2</v>
      </c>
      <c r="M1802" s="4" t="inlineStr">
        <is>
          <t>sin muestra</t>
        </is>
      </c>
      <c r="N1802" s="4" t="inlineStr">
        <is>
          <t>no valorable</t>
        </is>
      </c>
      <c r="O1802" s="4" t="inlineStr">
        <is>
          <t>segmento con pocas operaciones comparables</t>
        </is>
      </c>
    </row>
    <row r="1803">
      <c r="A1803" s="4" t="inlineStr">
        <is>
          <t>MD-0174</t>
        </is>
      </c>
      <c r="B1803" s="21" t="n">
        <v>46227</v>
      </c>
      <c r="C1803" s="4" t="inlineStr">
        <is>
          <t>Tetuan</t>
        </is>
      </c>
      <c r="D1803" s="4" t="n">
        <v>52</v>
      </c>
      <c r="E1803" s="4" t="inlineStr">
        <is>
          <t>buen estado</t>
        </is>
      </c>
      <c r="F1803" s="22" t="n">
        <v>256000</v>
      </c>
      <c r="G1803" s="23" t="n">
        <v>4923.08</v>
      </c>
      <c r="H1803" s="22" t="n">
        <v>235548</v>
      </c>
      <c r="I1803" s="23" t="n">
        <v>4529.77</v>
      </c>
      <c r="J1803" s="18" t="n">
        <v>0.0868</v>
      </c>
      <c r="K1803" s="24" t="n">
        <v>28.3</v>
      </c>
      <c r="L1803" s="4" t="n">
        <v>15</v>
      </c>
      <c r="M1803" s="4" t="inlineStr">
        <is>
          <t>media</t>
        </is>
      </c>
      <c r="N1803" s="4" t="inlineStr">
        <is>
          <t>en linea con comparables</t>
        </is>
      </c>
      <c r="O1803" s="4" t="n"/>
    </row>
    <row r="1804">
      <c r="A1804" s="4" t="inlineStr">
        <is>
          <t>MD-0389</t>
        </is>
      </c>
      <c r="B1804" s="21" t="n">
        <v>46228</v>
      </c>
      <c r="C1804" s="4" t="inlineStr">
        <is>
          <t>Chamartin</t>
        </is>
      </c>
      <c r="D1804" s="4" t="n">
        <v>119</v>
      </c>
      <c r="E1804" s="4" t="inlineStr">
        <is>
          <t>reformado</t>
        </is>
      </c>
      <c r="F1804" s="22" t="n">
        <v>389000</v>
      </c>
      <c r="G1804" s="23" t="n">
        <v>3268.91</v>
      </c>
      <c r="H1804" s="22" t="n">
        <v>1056712</v>
      </c>
      <c r="I1804" s="23" t="n">
        <v>8879.940000000001</v>
      </c>
      <c r="J1804" s="18" t="n">
        <v>-0.6319</v>
      </c>
      <c r="K1804" s="24" t="n">
        <v>100</v>
      </c>
      <c r="L1804" s="4" t="n">
        <v>18</v>
      </c>
      <c r="M1804" s="4" t="inlineStr">
        <is>
          <t>alta</t>
        </is>
      </c>
      <c r="N1804" s="4" t="inlineStr">
        <is>
          <t>por debajo de comparables</t>
        </is>
      </c>
      <c r="O1804" s="4" t="n"/>
    </row>
    <row r="1805">
      <c r="A1805" s="4" t="inlineStr">
        <is>
          <t>MD-0466</t>
        </is>
      </c>
      <c r="B1805" s="21" t="n">
        <v>46228</v>
      </c>
      <c r="C1805" s="4" t="inlineStr">
        <is>
          <t>Villaverde</t>
        </is>
      </c>
      <c r="D1805" s="4" t="n">
        <v>46</v>
      </c>
      <c r="E1805" s="4" t="inlineStr">
        <is>
          <t>reformado</t>
        </is>
      </c>
      <c r="F1805" s="22" t="n">
        <v>97000</v>
      </c>
      <c r="G1805" s="23" t="n">
        <v>2108.7</v>
      </c>
      <c r="H1805" s="22" t="n">
        <v>122802</v>
      </c>
      <c r="I1805" s="23" t="n">
        <v>2669.61</v>
      </c>
      <c r="J1805" s="18" t="n">
        <v>-0.2101</v>
      </c>
      <c r="K1805" s="24" t="n">
        <v>100</v>
      </c>
      <c r="L1805" s="4" t="n">
        <v>6</v>
      </c>
      <c r="M1805" s="4" t="inlineStr">
        <is>
          <t>baja</t>
        </is>
      </c>
      <c r="N1805" s="4" t="inlineStr">
        <is>
          <t>por debajo de comparables</t>
        </is>
      </c>
      <c r="O1805" s="4" t="n"/>
    </row>
    <row r="1806">
      <c r="A1806" s="4" t="inlineStr">
        <is>
          <t>MD-0008</t>
        </is>
      </c>
      <c r="B1806" s="21" t="n">
        <v>46228</v>
      </c>
      <c r="C1806" s="4" t="inlineStr">
        <is>
          <t>Centro</t>
        </is>
      </c>
      <c r="D1806" s="4" t="n">
        <v>113</v>
      </c>
      <c r="E1806" s="4" t="inlineStr">
        <is>
          <t>reformado</t>
        </is>
      </c>
      <c r="F1806" s="22" t="n">
        <v>814000</v>
      </c>
      <c r="G1806" s="23" t="n">
        <v>7203.54</v>
      </c>
      <c r="H1806" s="22" t="n">
        <v>899634</v>
      </c>
      <c r="I1806" s="23" t="n">
        <v>7961.36</v>
      </c>
      <c r="J1806" s="18" t="n">
        <v>-0.09520000000000001</v>
      </c>
      <c r="K1806" s="24" t="n">
        <v>73.8</v>
      </c>
      <c r="L1806" s="4" t="n">
        <v>22</v>
      </c>
      <c r="M1806" s="4" t="inlineStr">
        <is>
          <t>alta</t>
        </is>
      </c>
      <c r="N1806" s="4" t="inlineStr">
        <is>
          <t>en linea con comparables</t>
        </is>
      </c>
      <c r="O1806" s="4" t="n"/>
    </row>
    <row r="1807">
      <c r="A1807" s="4" t="inlineStr">
        <is>
          <t>MD-0108</t>
        </is>
      </c>
      <c r="B1807" s="21" t="n">
        <v>46228</v>
      </c>
      <c r="C1807" s="4" t="inlineStr">
        <is>
          <t>Arganzuela</t>
        </is>
      </c>
      <c r="D1807" s="4" t="n">
        <v>60</v>
      </c>
      <c r="E1807" s="4" t="inlineStr">
        <is>
          <t>buen estado</t>
        </is>
      </c>
      <c r="F1807" s="22" t="n">
        <v>391000</v>
      </c>
      <c r="G1807" s="23" t="n">
        <v>6516.67</v>
      </c>
      <c r="H1807" s="22" t="n">
        <v>346625</v>
      </c>
      <c r="I1807" s="23" t="n">
        <v>5777.09</v>
      </c>
      <c r="J1807" s="18" t="n">
        <v>0.128</v>
      </c>
      <c r="K1807" s="24" t="n">
        <v>18</v>
      </c>
      <c r="L1807" s="4" t="n">
        <v>24</v>
      </c>
      <c r="M1807" s="4" t="inlineStr">
        <is>
          <t>alta</t>
        </is>
      </c>
      <c r="N1807" s="4" t="inlineStr">
        <is>
          <t>por encima de comparables</t>
        </is>
      </c>
      <c r="O1807" s="4" t="n"/>
    </row>
    <row r="1808">
      <c r="A1808" s="4" t="inlineStr">
        <is>
          <t>MD-0078</t>
        </is>
      </c>
      <c r="B1808" s="21" t="n">
        <v>46228</v>
      </c>
      <c r="C1808" s="4" t="inlineStr">
        <is>
          <t>Centro</t>
        </is>
      </c>
      <c r="D1808" s="4" t="n">
        <v>75</v>
      </c>
      <c r="E1808" s="4" t="inlineStr">
        <is>
          <t>a reformar</t>
        </is>
      </c>
      <c r="F1808" s="22" t="n">
        <v>369000</v>
      </c>
      <c r="G1808" s="23" t="n">
        <v>4920</v>
      </c>
      <c r="H1808" s="22" t="n">
        <v>447438</v>
      </c>
      <c r="I1808" s="23" t="n">
        <v>5965.84</v>
      </c>
      <c r="J1808" s="18" t="n">
        <v>-0.1753</v>
      </c>
      <c r="K1808" s="24" t="n">
        <v>93.8</v>
      </c>
      <c r="L1808" s="4" t="n">
        <v>24</v>
      </c>
      <c r="M1808" s="4" t="inlineStr">
        <is>
          <t>media</t>
        </is>
      </c>
      <c r="N1808" s="4" t="inlineStr">
        <is>
          <t>por debajo de comparables</t>
        </is>
      </c>
      <c r="O1808" s="4" t="n"/>
    </row>
    <row r="1809">
      <c r="A1809" s="4" t="inlineStr">
        <is>
          <t>MD-0849</t>
        </is>
      </c>
      <c r="B1809" s="21" t="n">
        <v>46228</v>
      </c>
      <c r="C1809" s="4" t="inlineStr">
        <is>
          <t>Tetuan</t>
        </is>
      </c>
      <c r="D1809" s="4" t="n">
        <v>78</v>
      </c>
      <c r="E1809" s="4" t="inlineStr">
        <is>
          <t>reformado</t>
        </is>
      </c>
      <c r="F1809" s="22" t="n">
        <v>467000</v>
      </c>
      <c r="G1809" s="23" t="n">
        <v>5987.18</v>
      </c>
      <c r="H1809" s="22" t="n">
        <v>433341</v>
      </c>
      <c r="I1809" s="23" t="n">
        <v>5555.66</v>
      </c>
      <c r="J1809" s="18" t="n">
        <v>0.07770000000000001</v>
      </c>
      <c r="K1809" s="24" t="n">
        <v>30.6</v>
      </c>
      <c r="L1809" s="4" t="n">
        <v>31</v>
      </c>
      <c r="M1809" s="4" t="inlineStr">
        <is>
          <t>alta</t>
        </is>
      </c>
      <c r="N1809" s="4" t="inlineStr">
        <is>
          <t>en linea con comparables</t>
        </is>
      </c>
      <c r="O1809" s="4" t="n"/>
    </row>
    <row r="1810">
      <c r="A1810" s="4" t="inlineStr">
        <is>
          <t>MD-0934</t>
        </is>
      </c>
      <c r="B1810" s="21" t="n">
        <v>46229</v>
      </c>
      <c r="C1810" s="4" t="inlineStr">
        <is>
          <t>Puente de Vallecas</t>
        </is>
      </c>
      <c r="D1810" s="4" t="n">
        <v>123</v>
      </c>
      <c r="E1810" s="4" t="inlineStr">
        <is>
          <t>buen estado</t>
        </is>
      </c>
      <c r="F1810" s="22" t="n">
        <v>292000</v>
      </c>
      <c r="G1810" s="23" t="n">
        <v>2373.98</v>
      </c>
      <c r="H1810" s="22" t="n">
        <v>346130</v>
      </c>
      <c r="I1810" s="23" t="n">
        <v>2814.06</v>
      </c>
      <c r="J1810" s="18" t="n">
        <v>-0.1564</v>
      </c>
      <c r="K1810" s="24" t="n">
        <v>89.09999999999999</v>
      </c>
      <c r="L1810" s="4" t="n">
        <v>8</v>
      </c>
      <c r="M1810" s="4" t="inlineStr">
        <is>
          <t>media</t>
        </is>
      </c>
      <c r="N1810" s="4" t="inlineStr">
        <is>
          <t>por debajo de comparables</t>
        </is>
      </c>
      <c r="O1810" s="4" t="n"/>
    </row>
    <row r="1811">
      <c r="A1811" s="4" t="inlineStr">
        <is>
          <t>MD-1866</t>
        </is>
      </c>
      <c r="B1811" s="21" t="n">
        <v>46229</v>
      </c>
      <c r="C1811" s="4" t="inlineStr">
        <is>
          <t>Centro</t>
        </is>
      </c>
      <c r="D1811" s="4" t="n">
        <v>60</v>
      </c>
      <c r="E1811" s="4" t="inlineStr">
        <is>
          <t>reformado</t>
        </is>
      </c>
      <c r="F1811" s="22" t="n">
        <v>537000</v>
      </c>
      <c r="G1811" s="23" t="n">
        <v>8950</v>
      </c>
      <c r="H1811" s="22" t="n">
        <v>534224</v>
      </c>
      <c r="I1811" s="23" t="n">
        <v>8903.74</v>
      </c>
      <c r="J1811" s="18" t="n">
        <v>0.0052</v>
      </c>
      <c r="K1811" s="24" t="n">
        <v>48.7</v>
      </c>
      <c r="L1811" s="4" t="n">
        <v>22</v>
      </c>
      <c r="M1811" s="4" t="inlineStr">
        <is>
          <t>media</t>
        </is>
      </c>
      <c r="N1811" s="4" t="inlineStr">
        <is>
          <t>en linea con comparables</t>
        </is>
      </c>
      <c r="O1811" s="4" t="n"/>
    </row>
    <row r="1812">
      <c r="A1812" s="4" t="inlineStr">
        <is>
          <t>MD-1195</t>
        </is>
      </c>
      <c r="B1812" s="21" t="n">
        <v>46229</v>
      </c>
      <c r="C1812" s="4" t="inlineStr">
        <is>
          <t>Ciudad Lineal</t>
        </is>
      </c>
      <c r="D1812" s="4" t="n">
        <v>80</v>
      </c>
      <c r="E1812" s="4" t="inlineStr">
        <is>
          <t>a reformar</t>
        </is>
      </c>
      <c r="F1812" s="22" t="n">
        <v>372000</v>
      </c>
      <c r="G1812" s="23" t="n">
        <v>4650</v>
      </c>
      <c r="H1812" s="22" t="n">
        <v>333746</v>
      </c>
      <c r="I1812" s="23" t="n">
        <v>4171.82</v>
      </c>
      <c r="J1812" s="18" t="n">
        <v>0.1146</v>
      </c>
      <c r="K1812" s="24" t="n">
        <v>21.3</v>
      </c>
      <c r="L1812" s="4" t="n">
        <v>38</v>
      </c>
      <c r="M1812" s="4" t="inlineStr">
        <is>
          <t>alta</t>
        </is>
      </c>
      <c r="N1812" s="4" t="inlineStr">
        <is>
          <t>por encima de comparables</t>
        </is>
      </c>
      <c r="O1812" s="4" t="n"/>
    </row>
    <row r="1813">
      <c r="A1813" s="4" t="inlineStr">
        <is>
          <t>MD-0693</t>
        </is>
      </c>
      <c r="B1813" s="21" t="n">
        <v>46230</v>
      </c>
      <c r="C1813" s="4" t="inlineStr">
        <is>
          <t>San Blas-Canillejas</t>
        </is>
      </c>
      <c r="D1813" s="4" t="n">
        <v>126</v>
      </c>
      <c r="E1813" s="4" t="inlineStr">
        <is>
          <t>reformado</t>
        </is>
      </c>
      <c r="F1813" s="22" t="n">
        <v>535000</v>
      </c>
      <c r="G1813" s="23" t="n">
        <v>4246.03</v>
      </c>
      <c r="H1813" s="22" t="n">
        <v>475835</v>
      </c>
      <c r="I1813" s="23" t="n">
        <v>3776.47</v>
      </c>
      <c r="J1813" s="18" t="n">
        <v>0.1243</v>
      </c>
      <c r="K1813" s="24" t="n">
        <v>18.9</v>
      </c>
      <c r="L1813" s="4" t="n">
        <v>24</v>
      </c>
      <c r="M1813" s="4" t="inlineStr">
        <is>
          <t>alta</t>
        </is>
      </c>
      <c r="N1813" s="4" t="inlineStr">
        <is>
          <t>por encima de comparables</t>
        </is>
      </c>
      <c r="O1813" s="4" t="n"/>
    </row>
    <row r="1814">
      <c r="A1814" s="4" t="inlineStr">
        <is>
          <t>MD-1113</t>
        </is>
      </c>
      <c r="B1814" s="21" t="n">
        <v>46230</v>
      </c>
      <c r="C1814" s="4" t="inlineStr">
        <is>
          <t>Tetuan</t>
        </is>
      </c>
      <c r="D1814" s="4" t="n">
        <v>78</v>
      </c>
      <c r="E1814" s="4" t="inlineStr">
        <is>
          <t>reformado</t>
        </is>
      </c>
      <c r="F1814" s="22" t="n">
        <v>466000</v>
      </c>
      <c r="G1814" s="23" t="n">
        <v>5974.36</v>
      </c>
      <c r="H1814" s="22" t="n">
        <v>488340</v>
      </c>
      <c r="I1814" s="23" t="n">
        <v>6260.77</v>
      </c>
      <c r="J1814" s="18" t="n">
        <v>-0.0457</v>
      </c>
      <c r="K1814" s="24" t="n">
        <v>61.4</v>
      </c>
      <c r="L1814" s="4" t="n">
        <v>32</v>
      </c>
      <c r="M1814" s="4" t="inlineStr">
        <is>
          <t>alta</t>
        </is>
      </c>
      <c r="N1814" s="4" t="inlineStr">
        <is>
          <t>en linea con comparables</t>
        </is>
      </c>
      <c r="O1814" s="4" t="n"/>
    </row>
    <row r="1815">
      <c r="A1815" s="4" t="inlineStr">
        <is>
          <t>MD-1551</t>
        </is>
      </c>
      <c r="B1815" s="21" t="n">
        <v>46230</v>
      </c>
      <c r="C1815" s="4" t="inlineStr">
        <is>
          <t>Tetuan</t>
        </is>
      </c>
      <c r="D1815" s="4" t="n">
        <v>53</v>
      </c>
      <c r="E1815" s="4" t="inlineStr">
        <is>
          <t>buen estado</t>
        </is>
      </c>
      <c r="F1815" s="22" t="n">
        <v>292000</v>
      </c>
      <c r="G1815" s="23" t="n">
        <v>5509.43</v>
      </c>
      <c r="H1815" s="22" t="n">
        <v>278547</v>
      </c>
      <c r="I1815" s="23" t="n">
        <v>5255.6</v>
      </c>
      <c r="J1815" s="18" t="n">
        <v>0.0483</v>
      </c>
      <c r="K1815" s="24" t="n">
        <v>37.9</v>
      </c>
      <c r="L1815" s="4" t="n">
        <v>18</v>
      </c>
      <c r="M1815" s="4" t="inlineStr">
        <is>
          <t>media</t>
        </is>
      </c>
      <c r="N1815" s="4" t="inlineStr">
        <is>
          <t>en linea con comparables</t>
        </is>
      </c>
      <c r="O1815" s="4" t="n"/>
    </row>
    <row r="1816">
      <c r="A1816" s="4" t="inlineStr">
        <is>
          <t>MD-0076</t>
        </is>
      </c>
      <c r="B1816" s="21" t="n">
        <v>46230</v>
      </c>
      <c r="C1816" s="4" t="inlineStr">
        <is>
          <t>Chamberi</t>
        </is>
      </c>
      <c r="D1816" s="4" t="n">
        <v>29</v>
      </c>
      <c r="E1816" s="4" t="inlineStr">
        <is>
          <t>buen estado</t>
        </is>
      </c>
      <c r="F1816" s="22" t="n">
        <v>257000</v>
      </c>
      <c r="G1816" s="23" t="n">
        <v>8862.07</v>
      </c>
      <c r="H1816" s="22" t="n"/>
      <c r="I1816" s="23" t="n"/>
      <c r="J1816" s="18" t="n"/>
      <c r="K1816" s="24" t="n"/>
      <c r="L1816" s="4" t="n">
        <v>4</v>
      </c>
      <c r="M1816" s="4" t="inlineStr">
        <is>
          <t>sin muestra</t>
        </is>
      </c>
      <c r="N1816" s="4" t="inlineStr">
        <is>
          <t>no valorable</t>
        </is>
      </c>
      <c r="O1816" s="4" t="inlineStr">
        <is>
          <t>segmento con pocas operaciones comparables</t>
        </is>
      </c>
    </row>
    <row r="1817">
      <c r="A1817" s="4" t="inlineStr">
        <is>
          <t>MD-0171</t>
        </is>
      </c>
      <c r="B1817" s="21" t="n">
        <v>46230</v>
      </c>
      <c r="C1817" s="4" t="inlineStr">
        <is>
          <t>Latina</t>
        </is>
      </c>
      <c r="D1817" s="4" t="n">
        <v>94</v>
      </c>
      <c r="E1817" s="4" t="inlineStr">
        <is>
          <t>reformado</t>
        </is>
      </c>
      <c r="F1817" s="22" t="n">
        <v>372000</v>
      </c>
      <c r="G1817" s="23" t="n">
        <v>3957.45</v>
      </c>
      <c r="H1817" s="22" t="n">
        <v>353693</v>
      </c>
      <c r="I1817" s="23" t="n">
        <v>3762.69</v>
      </c>
      <c r="J1817" s="18" t="n">
        <v>0.0518</v>
      </c>
      <c r="K1817" s="24" t="n">
        <v>37.1</v>
      </c>
      <c r="L1817" s="4" t="n">
        <v>13</v>
      </c>
      <c r="M1817" s="4" t="inlineStr">
        <is>
          <t>media</t>
        </is>
      </c>
      <c r="N1817" s="4" t="inlineStr">
        <is>
          <t>en linea con comparables</t>
        </is>
      </c>
      <c r="O1817" s="4" t="n"/>
    </row>
    <row r="1818">
      <c r="A1818" s="4" t="inlineStr">
        <is>
          <t>MD-1023</t>
        </is>
      </c>
      <c r="B1818" s="21" t="n">
        <v>46231</v>
      </c>
      <c r="C1818" s="4" t="inlineStr">
        <is>
          <t>Usera</t>
        </is>
      </c>
      <c r="D1818" s="4" t="n">
        <v>65</v>
      </c>
      <c r="E1818" s="4" t="inlineStr">
        <is>
          <t>buen estado</t>
        </is>
      </c>
      <c r="F1818" s="22" t="n">
        <v>188000</v>
      </c>
      <c r="G1818" s="23" t="n">
        <v>2892.31</v>
      </c>
      <c r="H1818" s="22" t="n">
        <v>162468</v>
      </c>
      <c r="I1818" s="23" t="n">
        <v>2499.51</v>
      </c>
      <c r="J1818" s="18" t="n">
        <v>0.1571</v>
      </c>
      <c r="K1818" s="24" t="n">
        <v>10.7</v>
      </c>
      <c r="L1818" s="4" t="n">
        <v>12</v>
      </c>
      <c r="M1818" s="4" t="inlineStr">
        <is>
          <t>media</t>
        </is>
      </c>
      <c r="N1818" s="4" t="inlineStr">
        <is>
          <t>por encima de comparables</t>
        </is>
      </c>
      <c r="O1818" s="4" t="n"/>
    </row>
    <row r="1819">
      <c r="A1819" s="4" t="inlineStr">
        <is>
          <t>MD-1898</t>
        </is>
      </c>
      <c r="B1819" s="21" t="n">
        <v>46231</v>
      </c>
      <c r="C1819" s="4" t="inlineStr">
        <is>
          <t>Puente de Vallecas</t>
        </is>
      </c>
      <c r="D1819" s="4" t="n">
        <v>39</v>
      </c>
      <c r="E1819" s="4" t="inlineStr">
        <is>
          <t>buen estado</t>
        </is>
      </c>
      <c r="F1819" s="22" t="n">
        <v>134000</v>
      </c>
      <c r="G1819" s="23" t="n">
        <v>3435.9</v>
      </c>
      <c r="H1819" s="22" t="n">
        <v>99434</v>
      </c>
      <c r="I1819" s="23" t="n">
        <v>2549.6</v>
      </c>
      <c r="J1819" s="18" t="n">
        <v>0.3476</v>
      </c>
      <c r="K1819" s="24" t="n">
        <v>0</v>
      </c>
      <c r="L1819" s="4" t="n">
        <v>36</v>
      </c>
      <c r="M1819" s="4" t="inlineStr">
        <is>
          <t>alta</t>
        </is>
      </c>
      <c r="N1819" s="4" t="inlineStr">
        <is>
          <t>por encima de comparables</t>
        </is>
      </c>
      <c r="O1819" s="4" t="n"/>
    </row>
    <row r="1820">
      <c r="A1820" s="4" t="inlineStr">
        <is>
          <t>MD-0770</t>
        </is>
      </c>
      <c r="B1820" s="21" t="n">
        <v>46231</v>
      </c>
      <c r="C1820" s="4" t="inlineStr">
        <is>
          <t>Retiro</t>
        </is>
      </c>
      <c r="D1820" s="4" t="n">
        <v>97</v>
      </c>
      <c r="E1820" s="4" t="inlineStr">
        <is>
          <t>buen estado</t>
        </is>
      </c>
      <c r="F1820" s="22" t="n">
        <v>641000</v>
      </c>
      <c r="G1820" s="23" t="n">
        <v>6608.25</v>
      </c>
      <c r="H1820" s="22" t="n">
        <v>679000</v>
      </c>
      <c r="I1820" s="23" t="n">
        <v>7000</v>
      </c>
      <c r="J1820" s="18" t="n">
        <v>-0.056</v>
      </c>
      <c r="K1820" s="24" t="n">
        <v>64</v>
      </c>
      <c r="L1820" s="4" t="n">
        <v>11</v>
      </c>
      <c r="M1820" s="4" t="inlineStr">
        <is>
          <t>media</t>
        </is>
      </c>
      <c r="N1820" s="4" t="inlineStr">
        <is>
          <t>en linea con comparables</t>
        </is>
      </c>
      <c r="O1820" s="4" t="n"/>
    </row>
    <row r="1821">
      <c r="A1821" s="4" t="inlineStr">
        <is>
          <t>MD-1689</t>
        </is>
      </c>
      <c r="B1821" s="21" t="n">
        <v>46231</v>
      </c>
      <c r="C1821" s="4" t="inlineStr">
        <is>
          <t>Villa de Vallecas</t>
        </is>
      </c>
      <c r="D1821" s="4" t="n">
        <v>90</v>
      </c>
      <c r="E1821" s="4" t="inlineStr">
        <is>
          <t>buen estado</t>
        </is>
      </c>
      <c r="F1821" s="22" t="n">
        <v>324000</v>
      </c>
      <c r="G1821" s="23" t="n">
        <v>3600</v>
      </c>
      <c r="H1821" s="22" t="n">
        <v>291352</v>
      </c>
      <c r="I1821" s="23" t="n">
        <v>3237.24</v>
      </c>
      <c r="J1821" s="18" t="n">
        <v>0.1121</v>
      </c>
      <c r="K1821" s="24" t="n">
        <v>22</v>
      </c>
      <c r="L1821" s="4" t="n">
        <v>20</v>
      </c>
      <c r="M1821" s="4" t="inlineStr">
        <is>
          <t>alta</t>
        </is>
      </c>
      <c r="N1821" s="4" t="inlineStr">
        <is>
          <t>por encima de comparables</t>
        </is>
      </c>
      <c r="O1821" s="4" t="n"/>
    </row>
    <row r="1822">
      <c r="A1822" s="4" t="inlineStr">
        <is>
          <t>MD-1110</t>
        </is>
      </c>
      <c r="B1822" s="21" t="n">
        <v>46232</v>
      </c>
      <c r="C1822" s="4" t="inlineStr">
        <is>
          <t>Chamartin</t>
        </is>
      </c>
      <c r="D1822" s="4" t="n">
        <v>160</v>
      </c>
      <c r="E1822" s="4" t="inlineStr">
        <is>
          <t>a reformar</t>
        </is>
      </c>
      <c r="F1822" s="22" t="n">
        <v>940000</v>
      </c>
      <c r="G1822" s="23" t="n">
        <v>5875</v>
      </c>
      <c r="H1822" s="22" t="n">
        <v>852812</v>
      </c>
      <c r="I1822" s="23" t="n">
        <v>5330.07</v>
      </c>
      <c r="J1822" s="18" t="n">
        <v>0.1022</v>
      </c>
      <c r="K1822" s="24" t="n">
        <v>24.4</v>
      </c>
      <c r="L1822" s="4" t="n">
        <v>16</v>
      </c>
      <c r="M1822" s="4" t="inlineStr">
        <is>
          <t>media</t>
        </is>
      </c>
      <c r="N1822" s="4" t="inlineStr">
        <is>
          <t>por encima de comparables</t>
        </is>
      </c>
      <c r="O1822" s="4" t="n"/>
    </row>
    <row r="1823">
      <c r="A1823" s="4" t="inlineStr">
        <is>
          <t>MD-1786</t>
        </is>
      </c>
      <c r="B1823" s="21" t="n">
        <v>46232</v>
      </c>
      <c r="C1823" s="4" t="inlineStr">
        <is>
          <t>Carabanchel</t>
        </is>
      </c>
      <c r="D1823" s="4" t="n">
        <v>47</v>
      </c>
      <c r="E1823" s="4" t="inlineStr">
        <is>
          <t>buen estado</t>
        </is>
      </c>
      <c r="F1823" s="22" t="n">
        <v>149000</v>
      </c>
      <c r="G1823" s="23" t="n">
        <v>3170.21</v>
      </c>
      <c r="H1823" s="22" t="n">
        <v>160665</v>
      </c>
      <c r="I1823" s="23" t="n">
        <v>3418.41</v>
      </c>
      <c r="J1823" s="18" t="n">
        <v>-0.0726</v>
      </c>
      <c r="K1823" s="24" t="n">
        <v>68.2</v>
      </c>
      <c r="L1823" s="4" t="n">
        <v>36</v>
      </c>
      <c r="M1823" s="4" t="inlineStr">
        <is>
          <t>alta</t>
        </is>
      </c>
      <c r="N1823" s="4" t="inlineStr">
        <is>
          <t>en linea con comparables</t>
        </is>
      </c>
      <c r="O1823" s="4" t="n"/>
    </row>
    <row r="1824">
      <c r="A1824" s="4" t="inlineStr">
        <is>
          <t>MD-1641</t>
        </is>
      </c>
      <c r="B1824" s="21" t="n">
        <v>46232</v>
      </c>
      <c r="C1824" s="4" t="inlineStr">
        <is>
          <t>Salamanca</t>
        </is>
      </c>
      <c r="D1824" s="4" t="n">
        <v>28</v>
      </c>
      <c r="E1824" s="4" t="inlineStr">
        <is>
          <t>buen estado</t>
        </is>
      </c>
      <c r="F1824" s="22" t="n">
        <v>199000</v>
      </c>
      <c r="G1824" s="23" t="n">
        <v>7107.14</v>
      </c>
      <c r="H1824" s="22" t="n">
        <v>196399</v>
      </c>
      <c r="I1824" s="23" t="n">
        <v>7014.26</v>
      </c>
      <c r="J1824" s="18" t="n">
        <v>0.0132</v>
      </c>
      <c r="K1824" s="24" t="n">
        <v>46.7</v>
      </c>
      <c r="L1824" s="4" t="n">
        <v>5</v>
      </c>
      <c r="M1824" s="4" t="inlineStr">
        <is>
          <t>baja</t>
        </is>
      </c>
      <c r="N1824" s="4" t="inlineStr">
        <is>
          <t>en linea con comparables</t>
        </is>
      </c>
      <c r="O1824" s="4" t="n"/>
    </row>
    <row r="1825">
      <c r="A1825" s="4" t="inlineStr">
        <is>
          <t>MD-1969</t>
        </is>
      </c>
      <c r="B1825" s="21" t="n">
        <v>46232</v>
      </c>
      <c r="C1825" s="4" t="inlineStr">
        <is>
          <t>Latina</t>
        </is>
      </c>
      <c r="D1825" s="4" t="n">
        <v>84</v>
      </c>
      <c r="E1825" s="4" t="inlineStr">
        <is>
          <t>reformado</t>
        </is>
      </c>
      <c r="F1825" s="22" t="n">
        <v>296000</v>
      </c>
      <c r="G1825" s="23" t="n">
        <v>3523.81</v>
      </c>
      <c r="H1825" s="22" t="n">
        <v>273953</v>
      </c>
      <c r="I1825" s="23" t="n">
        <v>3261.34</v>
      </c>
      <c r="J1825" s="18" t="n">
        <v>0.0805</v>
      </c>
      <c r="K1825" s="24" t="n">
        <v>29.9</v>
      </c>
      <c r="L1825" s="4" t="n">
        <v>28</v>
      </c>
      <c r="M1825" s="4" t="inlineStr">
        <is>
          <t>media</t>
        </is>
      </c>
      <c r="N1825" s="4" t="inlineStr">
        <is>
          <t>en linea con comparables</t>
        </is>
      </c>
      <c r="O1825" s="4" t="n"/>
    </row>
    <row r="1826">
      <c r="A1826" s="4" t="inlineStr">
        <is>
          <t>MD-0771</t>
        </is>
      </c>
      <c r="B1826" s="21" t="n">
        <v>46232</v>
      </c>
      <c r="C1826" s="4" t="inlineStr">
        <is>
          <t>Centro</t>
        </is>
      </c>
      <c r="D1826" s="4" t="n">
        <v>190</v>
      </c>
      <c r="E1826" s="4" t="inlineStr">
        <is>
          <t>reformado</t>
        </is>
      </c>
      <c r="F1826" s="22" t="n">
        <v>583000</v>
      </c>
      <c r="G1826" s="23" t="n">
        <v>3068.42</v>
      </c>
      <c r="H1826" s="22" t="n">
        <v>1331079</v>
      </c>
      <c r="I1826" s="23" t="n">
        <v>7005.68</v>
      </c>
      <c r="J1826" s="18" t="n">
        <v>-0.5620000000000001</v>
      </c>
      <c r="K1826" s="24" t="n">
        <v>100</v>
      </c>
      <c r="L1826" s="4" t="n">
        <v>5</v>
      </c>
      <c r="M1826" s="4" t="inlineStr">
        <is>
          <t>baja</t>
        </is>
      </c>
      <c r="N1826" s="4" t="inlineStr">
        <is>
          <t>por debajo de comparables</t>
        </is>
      </c>
      <c r="O1826" s="4" t="n"/>
    </row>
    <row r="1827">
      <c r="A1827" s="4" t="inlineStr">
        <is>
          <t>MD-0212</t>
        </is>
      </c>
      <c r="B1827" s="21" t="n">
        <v>46233</v>
      </c>
      <c r="C1827" s="4" t="inlineStr">
        <is>
          <t>Ciudad Lineal</t>
        </is>
      </c>
      <c r="D1827" s="4" t="n">
        <v>84</v>
      </c>
      <c r="E1827" s="4" t="inlineStr">
        <is>
          <t>buen estado</t>
        </is>
      </c>
      <c r="F1827" s="22" t="n">
        <v>395000</v>
      </c>
      <c r="G1827" s="23" t="n">
        <v>4702.38</v>
      </c>
      <c r="H1827" s="22" t="n">
        <v>411580</v>
      </c>
      <c r="I1827" s="23" t="n">
        <v>4899.76</v>
      </c>
      <c r="J1827" s="18" t="n">
        <v>-0.0403</v>
      </c>
      <c r="K1827" s="24" t="n">
        <v>60.1</v>
      </c>
      <c r="L1827" s="4" t="n">
        <v>38</v>
      </c>
      <c r="M1827" s="4" t="inlineStr">
        <is>
          <t>alta</t>
        </is>
      </c>
      <c r="N1827" s="4" t="inlineStr">
        <is>
          <t>en linea con comparables</t>
        </is>
      </c>
      <c r="O1827" s="4" t="n"/>
    </row>
    <row r="1828">
      <c r="A1828" s="4" t="inlineStr">
        <is>
          <t>MD-0615</t>
        </is>
      </c>
      <c r="B1828" s="21" t="n">
        <v>46233</v>
      </c>
      <c r="C1828" s="4" t="inlineStr">
        <is>
          <t>Centro</t>
        </is>
      </c>
      <c r="D1828" s="4" t="n">
        <v>177</v>
      </c>
      <c r="E1828" s="4" t="inlineStr">
        <is>
          <t>reformado</t>
        </is>
      </c>
      <c r="F1828" s="22" t="n">
        <v>1154000</v>
      </c>
      <c r="G1828" s="23" t="n">
        <v>6519.77</v>
      </c>
      <c r="H1828" s="22" t="n">
        <v>1129036</v>
      </c>
      <c r="I1828" s="23" t="n">
        <v>6378.74</v>
      </c>
      <c r="J1828" s="18" t="n">
        <v>0.0221</v>
      </c>
      <c r="K1828" s="24" t="n">
        <v>44.5</v>
      </c>
      <c r="L1828" s="4" t="n">
        <v>6</v>
      </c>
      <c r="M1828" s="4" t="inlineStr">
        <is>
          <t>baja</t>
        </is>
      </c>
      <c r="N1828" s="4" t="inlineStr">
        <is>
          <t>en linea con comparables</t>
        </is>
      </c>
      <c r="O1828" s="4" t="n"/>
    </row>
    <row r="1829">
      <c r="A1829" s="4" t="inlineStr">
        <is>
          <t>MD-0313</t>
        </is>
      </c>
      <c r="B1829" s="21" t="n">
        <v>46233</v>
      </c>
      <c r="C1829" s="4" t="inlineStr">
        <is>
          <t>Retiro</t>
        </is>
      </c>
      <c r="D1829" s="4" t="n">
        <v>88</v>
      </c>
      <c r="E1829" s="4" t="inlineStr">
        <is>
          <t>reformado</t>
        </is>
      </c>
      <c r="F1829" s="22" t="n">
        <v>635000</v>
      </c>
      <c r="G1829" s="23" t="n">
        <v>7215.91</v>
      </c>
      <c r="H1829" s="22" t="n">
        <v>685504</v>
      </c>
      <c r="I1829" s="23" t="n">
        <v>7789.82</v>
      </c>
      <c r="J1829" s="18" t="n">
        <v>-0.0737</v>
      </c>
      <c r="K1829" s="24" t="n">
        <v>68.40000000000001</v>
      </c>
      <c r="L1829" s="4" t="n">
        <v>12</v>
      </c>
      <c r="M1829" s="4" t="inlineStr">
        <is>
          <t>media</t>
        </is>
      </c>
      <c r="N1829" s="4" t="inlineStr">
        <is>
          <t>en linea con comparables</t>
        </is>
      </c>
      <c r="O1829" s="4" t="n"/>
    </row>
    <row r="1830">
      <c r="A1830" s="4" t="inlineStr">
        <is>
          <t>MD-0461</t>
        </is>
      </c>
      <c r="B1830" s="21" t="n">
        <v>46234</v>
      </c>
      <c r="C1830" s="4" t="inlineStr">
        <is>
          <t>Villaverde</t>
        </is>
      </c>
      <c r="D1830" s="4" t="n">
        <v>84</v>
      </c>
      <c r="E1830" s="4" t="inlineStr">
        <is>
          <t>buen estado</t>
        </is>
      </c>
      <c r="F1830" s="22" t="n">
        <v>193000</v>
      </c>
      <c r="G1830" s="23" t="n">
        <v>2297.62</v>
      </c>
      <c r="H1830" s="22" t="n">
        <v>187673</v>
      </c>
      <c r="I1830" s="23" t="n">
        <v>2234.21</v>
      </c>
      <c r="J1830" s="18" t="n">
        <v>0.0284</v>
      </c>
      <c r="K1830" s="24" t="n">
        <v>42.9</v>
      </c>
      <c r="L1830" s="4" t="n">
        <v>10</v>
      </c>
      <c r="M1830" s="4" t="inlineStr">
        <is>
          <t>media</t>
        </is>
      </c>
      <c r="N1830" s="4" t="inlineStr">
        <is>
          <t>en linea con comparables</t>
        </is>
      </c>
      <c r="O1830" s="4" t="n"/>
    </row>
    <row r="1831">
      <c r="A1831" s="4" t="inlineStr">
        <is>
          <t>MD-1656</t>
        </is>
      </c>
      <c r="B1831" s="21" t="n">
        <v>46234</v>
      </c>
      <c r="C1831" s="4" t="inlineStr">
        <is>
          <t>Vicalvaro</t>
        </is>
      </c>
      <c r="D1831" s="4" t="n">
        <v>47</v>
      </c>
      <c r="E1831" s="4" t="inlineStr">
        <is>
          <t>buen estado</t>
        </is>
      </c>
      <c r="F1831" s="22" t="n">
        <v>207000</v>
      </c>
      <c r="G1831" s="23" t="n">
        <v>4404.26</v>
      </c>
      <c r="H1831" s="22" t="n">
        <v>158058</v>
      </c>
      <c r="I1831" s="23" t="n">
        <v>3362.93</v>
      </c>
      <c r="J1831" s="18" t="n">
        <v>0.3096</v>
      </c>
      <c r="K1831" s="24" t="n">
        <v>0</v>
      </c>
      <c r="L1831" s="4" t="n">
        <v>6</v>
      </c>
      <c r="M1831" s="4" t="inlineStr">
        <is>
          <t>baja</t>
        </is>
      </c>
      <c r="N1831" s="4" t="inlineStr">
        <is>
          <t>por encima de comparables</t>
        </is>
      </c>
      <c r="O1831" s="4" t="n"/>
    </row>
    <row r="1832">
      <c r="A1832" s="4" t="inlineStr">
        <is>
          <t>MD-1658</t>
        </is>
      </c>
      <c r="B1832" s="21" t="n">
        <v>46234</v>
      </c>
      <c r="C1832" s="4" t="inlineStr">
        <is>
          <t>Arganzuela</t>
        </is>
      </c>
      <c r="D1832" s="4" t="n">
        <v>39</v>
      </c>
      <c r="E1832" s="4" t="inlineStr">
        <is>
          <t>buen estado</t>
        </is>
      </c>
      <c r="F1832" s="22" t="n">
        <v>320000</v>
      </c>
      <c r="G1832" s="23" t="n">
        <v>8205.129999999999</v>
      </c>
      <c r="H1832" s="22" t="n">
        <v>223569</v>
      </c>
      <c r="I1832" s="23" t="n">
        <v>5732.53</v>
      </c>
      <c r="J1832" s="18" t="n">
        <v>0.4313</v>
      </c>
      <c r="K1832" s="24" t="n">
        <v>0</v>
      </c>
      <c r="L1832" s="4" t="n">
        <v>6</v>
      </c>
      <c r="M1832" s="4" t="inlineStr">
        <is>
          <t>baja</t>
        </is>
      </c>
      <c r="N1832" s="4" t="inlineStr">
        <is>
          <t>por encima de comparables</t>
        </is>
      </c>
      <c r="O1832" s="4" t="n"/>
    </row>
    <row r="1833">
      <c r="A1833" s="4" t="inlineStr">
        <is>
          <t>MD-0669</t>
        </is>
      </c>
      <c r="B1833" s="21" t="n">
        <v>46234</v>
      </c>
      <c r="C1833" s="4" t="inlineStr">
        <is>
          <t>Puente de Vallecas</t>
        </is>
      </c>
      <c r="D1833" s="4" t="n">
        <v>40</v>
      </c>
      <c r="E1833" s="4" t="inlineStr">
        <is>
          <t>buen estado</t>
        </is>
      </c>
      <c r="F1833" s="22" t="n">
        <v>142000</v>
      </c>
      <c r="G1833" s="23" t="n">
        <v>3550</v>
      </c>
      <c r="H1833" s="22" t="n">
        <v>115544</v>
      </c>
      <c r="I1833" s="23" t="n">
        <v>2888.61</v>
      </c>
      <c r="J1833" s="18" t="n">
        <v>0.229</v>
      </c>
      <c r="K1833" s="24" t="n">
        <v>0</v>
      </c>
      <c r="L1833" s="4" t="n">
        <v>37</v>
      </c>
      <c r="M1833" s="4" t="inlineStr">
        <is>
          <t>alta</t>
        </is>
      </c>
      <c r="N1833" s="4" t="inlineStr">
        <is>
          <t>por encima de comparables</t>
        </is>
      </c>
      <c r="O1833" s="4" t="n"/>
    </row>
    <row r="1834">
      <c r="A1834" s="4" t="inlineStr">
        <is>
          <t>MD-1133</t>
        </is>
      </c>
      <c r="B1834" s="21" t="n">
        <v>46234</v>
      </c>
      <c r="C1834" s="4" t="inlineStr">
        <is>
          <t>Retiro</t>
        </is>
      </c>
      <c r="D1834" s="4" t="n">
        <v>35</v>
      </c>
      <c r="E1834" s="4" t="inlineStr">
        <is>
          <t>buen estado</t>
        </is>
      </c>
      <c r="F1834" s="22" t="n">
        <v>257000</v>
      </c>
      <c r="G1834" s="23" t="n">
        <v>7342.86</v>
      </c>
      <c r="H1834" s="22" t="n"/>
      <c r="I1834" s="23" t="n"/>
      <c r="J1834" s="18" t="n"/>
      <c r="K1834" s="24" t="n"/>
      <c r="L1834" s="4" t="n">
        <v>3</v>
      </c>
      <c r="M1834" s="4" t="inlineStr">
        <is>
          <t>sin muestra</t>
        </is>
      </c>
      <c r="N1834" s="4" t="inlineStr">
        <is>
          <t>no valorable</t>
        </is>
      </c>
      <c r="O1834" s="4" t="inlineStr">
        <is>
          <t>segmento con pocas operaciones comparables</t>
        </is>
      </c>
    </row>
    <row r="1835">
      <c r="A1835" s="4" t="inlineStr">
        <is>
          <t>MD-0647</t>
        </is>
      </c>
      <c r="B1835" s="21" t="n">
        <v>46235</v>
      </c>
      <c r="C1835" s="4" t="inlineStr">
        <is>
          <t>San Blas-Canillejas</t>
        </is>
      </c>
      <c r="D1835" s="4" t="n">
        <v>122</v>
      </c>
      <c r="E1835" s="4" t="inlineStr">
        <is>
          <t>reformado</t>
        </is>
      </c>
      <c r="F1835" s="22" t="n">
        <v>575000</v>
      </c>
      <c r="G1835" s="23" t="n">
        <v>4713.11</v>
      </c>
      <c r="H1835" s="22" t="n">
        <v>517382</v>
      </c>
      <c r="I1835" s="23" t="n">
        <v>4240.83</v>
      </c>
      <c r="J1835" s="18" t="n">
        <v>0.1114</v>
      </c>
      <c r="K1835" s="24" t="n">
        <v>22.2</v>
      </c>
      <c r="L1835" s="4" t="n">
        <v>24</v>
      </c>
      <c r="M1835" s="4" t="inlineStr">
        <is>
          <t>alta</t>
        </is>
      </c>
      <c r="N1835" s="4" t="inlineStr">
        <is>
          <t>por encima de comparables</t>
        </is>
      </c>
      <c r="O1835" s="4" t="n"/>
    </row>
    <row r="1836">
      <c r="A1836" s="4" t="inlineStr">
        <is>
          <t>MD-0955</t>
        </is>
      </c>
      <c r="B1836" s="21" t="n">
        <v>46236</v>
      </c>
      <c r="C1836" s="4" t="inlineStr">
        <is>
          <t>Vicalvaro</t>
        </is>
      </c>
      <c r="D1836" s="4" t="n">
        <v>188</v>
      </c>
      <c r="E1836" s="4" t="inlineStr">
        <is>
          <t>obra nueva</t>
        </is>
      </c>
      <c r="F1836" s="22" t="n">
        <v>667000</v>
      </c>
      <c r="G1836" s="23" t="n">
        <v>3547.87</v>
      </c>
      <c r="H1836" s="22" t="n">
        <v>710981</v>
      </c>
      <c r="I1836" s="23" t="n">
        <v>3781.81</v>
      </c>
      <c r="J1836" s="18" t="n">
        <v>-0.0619</v>
      </c>
      <c r="K1836" s="24" t="n">
        <v>65.5</v>
      </c>
      <c r="L1836" s="4" t="n">
        <v>11</v>
      </c>
      <c r="M1836" s="4" t="inlineStr">
        <is>
          <t>media</t>
        </is>
      </c>
      <c r="N1836" s="4" t="inlineStr">
        <is>
          <t>en linea con comparables</t>
        </is>
      </c>
      <c r="O1836" s="4" t="n"/>
    </row>
    <row r="1837">
      <c r="A1837" s="4" t="inlineStr">
        <is>
          <t>MD-0918</t>
        </is>
      </c>
      <c r="B1837" s="21" t="n">
        <v>46236</v>
      </c>
      <c r="C1837" s="4" t="inlineStr">
        <is>
          <t>Tetuan</t>
        </is>
      </c>
      <c r="D1837" s="4" t="n">
        <v>98</v>
      </c>
      <c r="E1837" s="4" t="inlineStr">
        <is>
          <t>buen estado</t>
        </is>
      </c>
      <c r="F1837" s="22" t="n">
        <v>479000</v>
      </c>
      <c r="G1837" s="23" t="n">
        <v>4887.76</v>
      </c>
      <c r="H1837" s="22" t="n">
        <v>504077</v>
      </c>
      <c r="I1837" s="23" t="n">
        <v>5143.64</v>
      </c>
      <c r="J1837" s="18" t="n">
        <v>-0.0497</v>
      </c>
      <c r="K1837" s="24" t="n">
        <v>62.4</v>
      </c>
      <c r="L1837" s="4" t="n">
        <v>18</v>
      </c>
      <c r="M1837" s="4" t="inlineStr">
        <is>
          <t>alta</t>
        </is>
      </c>
      <c r="N1837" s="4" t="inlineStr">
        <is>
          <t>en linea con comparables</t>
        </is>
      </c>
      <c r="O1837" s="4" t="n"/>
    </row>
    <row r="1838">
      <c r="A1838" s="4" t="inlineStr">
        <is>
          <t>MD-1613</t>
        </is>
      </c>
      <c r="B1838" s="21" t="n">
        <v>46236</v>
      </c>
      <c r="C1838" s="4" t="inlineStr">
        <is>
          <t>San Blas-Canillejas</t>
        </is>
      </c>
      <c r="D1838" s="4" t="n">
        <v>166</v>
      </c>
      <c r="E1838" s="4" t="inlineStr">
        <is>
          <t>buen estado</t>
        </is>
      </c>
      <c r="F1838" s="22" t="n">
        <v>607000</v>
      </c>
      <c r="G1838" s="23" t="n">
        <v>3656.63</v>
      </c>
      <c r="H1838" s="22" t="n">
        <v>560843</v>
      </c>
      <c r="I1838" s="23" t="n">
        <v>3378.57</v>
      </c>
      <c r="J1838" s="18" t="n">
        <v>0.0823</v>
      </c>
      <c r="K1838" s="24" t="n">
        <v>29.4</v>
      </c>
      <c r="L1838" s="4" t="n">
        <v>13</v>
      </c>
      <c r="M1838" s="4" t="inlineStr">
        <is>
          <t>media</t>
        </is>
      </c>
      <c r="N1838" s="4" t="inlineStr">
        <is>
          <t>en linea con comparables</t>
        </is>
      </c>
      <c r="O1838" s="4" t="n"/>
    </row>
    <row r="1839">
      <c r="A1839" s="4" t="inlineStr">
        <is>
          <t>MD-1209</t>
        </is>
      </c>
      <c r="B1839" s="21" t="n">
        <v>46236</v>
      </c>
      <c r="C1839" s="4" t="inlineStr">
        <is>
          <t>Ciudad Lineal</t>
        </is>
      </c>
      <c r="D1839" s="4" t="n">
        <v>70</v>
      </c>
      <c r="E1839" s="4" t="inlineStr">
        <is>
          <t>a reformar</t>
        </is>
      </c>
      <c r="F1839" s="22" t="n">
        <v>295000</v>
      </c>
      <c r="G1839" s="23" t="n">
        <v>4214.29</v>
      </c>
      <c r="H1839" s="22" t="n">
        <v>286792</v>
      </c>
      <c r="I1839" s="23" t="n">
        <v>4097.02</v>
      </c>
      <c r="J1839" s="18" t="n">
        <v>0.0286</v>
      </c>
      <c r="K1839" s="24" t="n">
        <v>42.8</v>
      </c>
      <c r="L1839" s="4" t="n">
        <v>41</v>
      </c>
      <c r="M1839" s="4" t="inlineStr">
        <is>
          <t>alta</t>
        </is>
      </c>
      <c r="N1839" s="4" t="inlineStr">
        <is>
          <t>en linea con comparables</t>
        </is>
      </c>
      <c r="O1839" s="4" t="n"/>
    </row>
    <row r="1840">
      <c r="A1840" s="4" t="inlineStr">
        <is>
          <t>MD-1802</t>
        </is>
      </c>
      <c r="B1840" s="21" t="n">
        <v>46236</v>
      </c>
      <c r="C1840" s="4" t="inlineStr">
        <is>
          <t>Puente de Vallecas</t>
        </is>
      </c>
      <c r="D1840" s="4" t="n">
        <v>81</v>
      </c>
      <c r="E1840" s="4" t="inlineStr">
        <is>
          <t>a reformar</t>
        </is>
      </c>
      <c r="F1840" s="22" t="n">
        <v>142000</v>
      </c>
      <c r="G1840" s="23" t="n">
        <v>1753.09</v>
      </c>
      <c r="H1840" s="22" t="n">
        <v>183936</v>
      </c>
      <c r="I1840" s="23" t="n">
        <v>2270.81</v>
      </c>
      <c r="J1840" s="18" t="n">
        <v>-0.228</v>
      </c>
      <c r="K1840" s="24" t="n">
        <v>100</v>
      </c>
      <c r="L1840" s="4" t="n">
        <v>34</v>
      </c>
      <c r="M1840" s="4" t="inlineStr">
        <is>
          <t>media</t>
        </is>
      </c>
      <c r="N1840" s="4" t="inlineStr">
        <is>
          <t>por debajo de comparables</t>
        </is>
      </c>
      <c r="O1840" s="4" t="n"/>
    </row>
    <row r="1841">
      <c r="A1841" s="4" t="inlineStr">
        <is>
          <t>MD-1836</t>
        </is>
      </c>
      <c r="B1841" s="21" t="n">
        <v>46237</v>
      </c>
      <c r="C1841" s="4" t="inlineStr">
        <is>
          <t>Tetuan</t>
        </is>
      </c>
      <c r="D1841" s="4" t="n">
        <v>99</v>
      </c>
      <c r="E1841" s="4" t="inlineStr">
        <is>
          <t>buen estado</t>
        </is>
      </c>
      <c r="F1841" s="22" t="n">
        <v>401000</v>
      </c>
      <c r="G1841" s="23" t="n">
        <v>4050.51</v>
      </c>
      <c r="H1841" s="22" t="n">
        <v>452274</v>
      </c>
      <c r="I1841" s="23" t="n">
        <v>4568.42</v>
      </c>
      <c r="J1841" s="18" t="n">
        <v>-0.1134</v>
      </c>
      <c r="K1841" s="24" t="n">
        <v>78.3</v>
      </c>
      <c r="L1841" s="4" t="n">
        <v>19</v>
      </c>
      <c r="M1841" s="4" t="inlineStr">
        <is>
          <t>alta</t>
        </is>
      </c>
      <c r="N1841" s="4" t="inlineStr">
        <is>
          <t>por debajo de comparables</t>
        </is>
      </c>
      <c r="O1841" s="4" t="n"/>
    </row>
    <row r="1842">
      <c r="A1842" s="4" t="inlineStr">
        <is>
          <t>MD-1334</t>
        </is>
      </c>
      <c r="B1842" s="21" t="n">
        <v>46237</v>
      </c>
      <c r="C1842" s="4" t="inlineStr">
        <is>
          <t>San Blas-Canillejas</t>
        </is>
      </c>
      <c r="D1842" s="4" t="n">
        <v>58</v>
      </c>
      <c r="E1842" s="4" t="inlineStr">
        <is>
          <t>buen estado</t>
        </is>
      </c>
      <c r="F1842" s="22" t="n">
        <v>190000</v>
      </c>
      <c r="G1842" s="23" t="n">
        <v>3275.86</v>
      </c>
      <c r="H1842" s="22" t="n">
        <v>207621</v>
      </c>
      <c r="I1842" s="23" t="n">
        <v>3579.66</v>
      </c>
      <c r="J1842" s="18" t="n">
        <v>-0.0849</v>
      </c>
      <c r="K1842" s="24" t="n">
        <v>71.2</v>
      </c>
      <c r="L1842" s="4" t="n">
        <v>19</v>
      </c>
      <c r="M1842" s="4" t="inlineStr">
        <is>
          <t>alta</t>
        </is>
      </c>
      <c r="N1842" s="4" t="inlineStr">
        <is>
          <t>en linea con comparables</t>
        </is>
      </c>
      <c r="O1842" s="4" t="n"/>
    </row>
    <row r="1843">
      <c r="A1843" s="4" t="inlineStr">
        <is>
          <t>MD-1454</t>
        </is>
      </c>
      <c r="B1843" s="21" t="n">
        <v>46237</v>
      </c>
      <c r="C1843" s="4" t="inlineStr">
        <is>
          <t>Fuencarral-El Pardo</t>
        </is>
      </c>
      <c r="D1843" s="4" t="n">
        <v>181</v>
      </c>
      <c r="E1843" s="4" t="inlineStr">
        <is>
          <t>buen estado</t>
        </is>
      </c>
      <c r="F1843" s="22" t="n">
        <v>932000</v>
      </c>
      <c r="G1843" s="23" t="n">
        <v>5149.17</v>
      </c>
      <c r="H1843" s="22" t="n">
        <v>992331</v>
      </c>
      <c r="I1843" s="23" t="n">
        <v>5482.49</v>
      </c>
      <c r="J1843" s="18" t="n">
        <v>-0.0608</v>
      </c>
      <c r="K1843" s="24" t="n">
        <v>65.2</v>
      </c>
      <c r="L1843" s="4" t="n">
        <v>16</v>
      </c>
      <c r="M1843" s="4" t="inlineStr">
        <is>
          <t>alta</t>
        </is>
      </c>
      <c r="N1843" s="4" t="inlineStr">
        <is>
          <t>en linea con comparables</t>
        </is>
      </c>
      <c r="O1843" s="4" t="n"/>
    </row>
    <row r="1844">
      <c r="A1844" s="4" t="inlineStr">
        <is>
          <t>MD-1683</t>
        </is>
      </c>
      <c r="B1844" s="21" t="n">
        <v>46238</v>
      </c>
      <c r="C1844" s="4" t="inlineStr">
        <is>
          <t>Moncloa-Aravaca</t>
        </is>
      </c>
      <c r="D1844" s="4" t="n">
        <v>99</v>
      </c>
      <c r="E1844" s="4" t="inlineStr">
        <is>
          <t>a reformar</t>
        </is>
      </c>
      <c r="F1844" s="22" t="n">
        <v>428000</v>
      </c>
      <c r="G1844" s="23" t="n">
        <v>4323.23</v>
      </c>
      <c r="H1844" s="22" t="n"/>
      <c r="I1844" s="23" t="n"/>
      <c r="J1844" s="18" t="n"/>
      <c r="K1844" s="24" t="n"/>
      <c r="L1844" s="4" t="n">
        <v>3</v>
      </c>
      <c r="M1844" s="4" t="inlineStr">
        <is>
          <t>sin muestra</t>
        </is>
      </c>
      <c r="N1844" s="4" t="inlineStr">
        <is>
          <t>no valorable</t>
        </is>
      </c>
      <c r="O1844" s="4" t="inlineStr">
        <is>
          <t>segmento con pocas operaciones comparables</t>
        </is>
      </c>
    </row>
    <row r="1845">
      <c r="A1845" s="4" t="inlineStr">
        <is>
          <t>MD-1490</t>
        </is>
      </c>
      <c r="B1845" s="21" t="n">
        <v>46238</v>
      </c>
      <c r="C1845" s="4" t="inlineStr">
        <is>
          <t>Fuencarral-El Pardo</t>
        </is>
      </c>
      <c r="D1845" s="4" t="n">
        <v>83</v>
      </c>
      <c r="E1845" s="4" t="inlineStr">
        <is>
          <t>buen estado</t>
        </is>
      </c>
      <c r="F1845" s="22" t="n">
        <v>455000</v>
      </c>
      <c r="G1845" s="23" t="n">
        <v>5481.93</v>
      </c>
      <c r="H1845" s="22" t="n">
        <v>466732</v>
      </c>
      <c r="I1845" s="23" t="n">
        <v>5623.28</v>
      </c>
      <c r="J1845" s="18" t="n">
        <v>-0.0251</v>
      </c>
      <c r="K1845" s="24" t="n">
        <v>56.3</v>
      </c>
      <c r="L1845" s="4" t="n">
        <v>22</v>
      </c>
      <c r="M1845" s="4" t="inlineStr">
        <is>
          <t>alta</t>
        </is>
      </c>
      <c r="N1845" s="4" t="inlineStr">
        <is>
          <t>en linea con comparables</t>
        </is>
      </c>
      <c r="O1845" s="4" t="n"/>
    </row>
    <row r="1846">
      <c r="A1846" s="4" t="inlineStr">
        <is>
          <t>MD-0946</t>
        </is>
      </c>
      <c r="B1846" s="21" t="n">
        <v>46238</v>
      </c>
      <c r="C1846" s="4" t="inlineStr">
        <is>
          <t>Ciudad Lineal</t>
        </is>
      </c>
      <c r="D1846" s="4" t="n">
        <v>51</v>
      </c>
      <c r="E1846" s="4" t="inlineStr">
        <is>
          <t>a reformar</t>
        </is>
      </c>
      <c r="F1846" s="22" t="n">
        <v>189000</v>
      </c>
      <c r="G1846" s="23" t="n">
        <v>3705.88</v>
      </c>
      <c r="H1846" s="22" t="n">
        <v>185260</v>
      </c>
      <c r="I1846" s="23" t="n">
        <v>3632.55</v>
      </c>
      <c r="J1846" s="18" t="n">
        <v>0.0202</v>
      </c>
      <c r="K1846" s="24" t="n">
        <v>45</v>
      </c>
      <c r="L1846" s="4" t="n">
        <v>42</v>
      </c>
      <c r="M1846" s="4" t="inlineStr">
        <is>
          <t>alta</t>
        </is>
      </c>
      <c r="N1846" s="4" t="inlineStr">
        <is>
          <t>en linea con comparables</t>
        </is>
      </c>
      <c r="O1846" s="4" t="n"/>
    </row>
    <row r="1847">
      <c r="A1847" s="4" t="inlineStr">
        <is>
          <t>MD-0215</t>
        </is>
      </c>
      <c r="B1847" s="21" t="n">
        <v>46238</v>
      </c>
      <c r="C1847" s="4" t="inlineStr">
        <is>
          <t>Fuencarral-El Pardo</t>
        </is>
      </c>
      <c r="D1847" s="4" t="n">
        <v>117</v>
      </c>
      <c r="E1847" s="4" t="inlineStr">
        <is>
          <t>buen estado</t>
        </is>
      </c>
      <c r="F1847" s="22" t="n">
        <v>618000</v>
      </c>
      <c r="G1847" s="23" t="n">
        <v>5282.05</v>
      </c>
      <c r="H1847" s="22" t="n">
        <v>649041</v>
      </c>
      <c r="I1847" s="23" t="n">
        <v>5547.36</v>
      </c>
      <c r="J1847" s="18" t="n">
        <v>-0.0478</v>
      </c>
      <c r="K1847" s="24" t="n">
        <v>62</v>
      </c>
      <c r="L1847" s="4" t="n">
        <v>31</v>
      </c>
      <c r="M1847" s="4" t="inlineStr">
        <is>
          <t>alta</t>
        </is>
      </c>
      <c r="N1847" s="4" t="inlineStr">
        <is>
          <t>en linea con comparables</t>
        </is>
      </c>
      <c r="O1847" s="4" t="n"/>
    </row>
    <row r="1848">
      <c r="A1848" s="4" t="inlineStr">
        <is>
          <t>MD-1263</t>
        </is>
      </c>
      <c r="B1848" s="21" t="n">
        <v>46238</v>
      </c>
      <c r="C1848" s="4" t="inlineStr">
        <is>
          <t>Salamanca</t>
        </is>
      </c>
      <c r="D1848" s="4" t="n">
        <v>38</v>
      </c>
      <c r="E1848" s="4" t="inlineStr">
        <is>
          <t>reformado</t>
        </is>
      </c>
      <c r="F1848" s="22" t="n">
        <v>385000</v>
      </c>
      <c r="G1848" s="23" t="n">
        <v>10131.58</v>
      </c>
      <c r="H1848" s="22" t="n">
        <v>343097</v>
      </c>
      <c r="I1848" s="23" t="n">
        <v>9028.860000000001</v>
      </c>
      <c r="J1848" s="18" t="n">
        <v>0.1221</v>
      </c>
      <c r="K1848" s="24" t="n">
        <v>19.5</v>
      </c>
      <c r="L1848" s="4" t="n">
        <v>11</v>
      </c>
      <c r="M1848" s="4" t="inlineStr">
        <is>
          <t>media</t>
        </is>
      </c>
      <c r="N1848" s="4" t="inlineStr">
        <is>
          <t>por encima de comparables</t>
        </is>
      </c>
      <c r="O1848" s="4" t="n"/>
    </row>
    <row r="1849">
      <c r="A1849" s="4" t="inlineStr">
        <is>
          <t>MD-1070</t>
        </is>
      </c>
      <c r="B1849" s="21" t="n">
        <v>46238</v>
      </c>
      <c r="C1849" s="4" t="inlineStr">
        <is>
          <t>Salamanca</t>
        </is>
      </c>
      <c r="D1849" s="4" t="n">
        <v>57</v>
      </c>
      <c r="E1849" s="4" t="inlineStr">
        <is>
          <t>buen estado</t>
        </is>
      </c>
      <c r="F1849" s="22" t="n">
        <v>442000</v>
      </c>
      <c r="G1849" s="23" t="n">
        <v>7754.39</v>
      </c>
      <c r="H1849" s="22" t="n">
        <v>495134</v>
      </c>
      <c r="I1849" s="23" t="n">
        <v>8686.57</v>
      </c>
      <c r="J1849" s="18" t="n">
        <v>-0.1073</v>
      </c>
      <c r="K1849" s="24" t="n">
        <v>76.8</v>
      </c>
      <c r="L1849" s="4" t="n">
        <v>16</v>
      </c>
      <c r="M1849" s="4" t="inlineStr">
        <is>
          <t>alta</t>
        </is>
      </c>
      <c r="N1849" s="4" t="inlineStr">
        <is>
          <t>por debajo de comparables</t>
        </is>
      </c>
      <c r="O1849" s="4" t="n"/>
    </row>
    <row r="1850">
      <c r="A1850" s="4" t="inlineStr">
        <is>
          <t>MD-0481</t>
        </is>
      </c>
      <c r="B1850" s="21" t="n">
        <v>46239</v>
      </c>
      <c r="C1850" s="4" t="inlineStr">
        <is>
          <t>Fuencarral-El Pardo</t>
        </is>
      </c>
      <c r="D1850" s="4" t="n">
        <v>121</v>
      </c>
      <c r="E1850" s="4" t="inlineStr">
        <is>
          <t>reformado</t>
        </is>
      </c>
      <c r="F1850" s="22" t="n">
        <v>771000</v>
      </c>
      <c r="G1850" s="23" t="n">
        <v>6371.9</v>
      </c>
      <c r="H1850" s="22" t="n">
        <v>662023</v>
      </c>
      <c r="I1850" s="23" t="n">
        <v>5471.27</v>
      </c>
      <c r="J1850" s="18" t="n">
        <v>0.1646</v>
      </c>
      <c r="K1850" s="24" t="n">
        <v>8.800000000000001</v>
      </c>
      <c r="L1850" s="4" t="n">
        <v>33</v>
      </c>
      <c r="M1850" s="4" t="inlineStr">
        <is>
          <t>alta</t>
        </is>
      </c>
      <c r="N1850" s="4" t="inlineStr">
        <is>
          <t>por encima de comparables</t>
        </is>
      </c>
      <c r="O1850" s="4" t="n"/>
    </row>
    <row r="1851">
      <c r="A1851" s="4" t="inlineStr">
        <is>
          <t>MD-0070</t>
        </is>
      </c>
      <c r="B1851" s="21" t="n">
        <v>46239</v>
      </c>
      <c r="C1851" s="4" t="inlineStr">
        <is>
          <t>Fuencarral-El Pardo</t>
        </is>
      </c>
      <c r="D1851" s="4" t="n">
        <v>99</v>
      </c>
      <c r="E1851" s="4" t="inlineStr">
        <is>
          <t>reformado</t>
        </is>
      </c>
      <c r="F1851" s="22" t="n">
        <v>752000</v>
      </c>
      <c r="G1851" s="23" t="n">
        <v>7595.96</v>
      </c>
      <c r="H1851" s="22" t="n">
        <v>604217</v>
      </c>
      <c r="I1851" s="23" t="n">
        <v>6103.2</v>
      </c>
      <c r="J1851" s="18" t="n">
        <v>0.2446</v>
      </c>
      <c r="K1851" s="24" t="n">
        <v>0</v>
      </c>
      <c r="L1851" s="4" t="n">
        <v>34</v>
      </c>
      <c r="M1851" s="4" t="inlineStr">
        <is>
          <t>alta</t>
        </is>
      </c>
      <c r="N1851" s="4" t="inlineStr">
        <is>
          <t>por encima de comparables</t>
        </is>
      </c>
      <c r="O1851" s="4" t="n"/>
    </row>
    <row r="1852">
      <c r="A1852" s="4" t="inlineStr">
        <is>
          <t>MD-0562</t>
        </is>
      </c>
      <c r="B1852" s="21" t="n">
        <v>46239</v>
      </c>
      <c r="C1852" s="4" t="inlineStr">
        <is>
          <t>Retiro</t>
        </is>
      </c>
      <c r="D1852" s="4" t="n">
        <v>172</v>
      </c>
      <c r="E1852" s="4" t="inlineStr">
        <is>
          <t>reformado</t>
        </is>
      </c>
      <c r="F1852" s="22" t="n">
        <v>1033000</v>
      </c>
      <c r="G1852" s="23" t="n">
        <v>6005.81</v>
      </c>
      <c r="H1852" s="22" t="n">
        <v>1143422</v>
      </c>
      <c r="I1852" s="23" t="n">
        <v>6647.8</v>
      </c>
      <c r="J1852" s="18" t="n">
        <v>-0.09660000000000001</v>
      </c>
      <c r="K1852" s="24" t="n">
        <v>74.09999999999999</v>
      </c>
      <c r="L1852" s="4" t="n">
        <v>14</v>
      </c>
      <c r="M1852" s="4" t="inlineStr">
        <is>
          <t>media</t>
        </is>
      </c>
      <c r="N1852" s="4" t="inlineStr">
        <is>
          <t>en linea con comparables</t>
        </is>
      </c>
      <c r="O1852" s="4" t="n"/>
    </row>
    <row r="1853">
      <c r="A1853" s="4" t="inlineStr">
        <is>
          <t>MD-1700</t>
        </is>
      </c>
      <c r="B1853" s="21" t="n">
        <v>46240</v>
      </c>
      <c r="C1853" s="4" t="inlineStr">
        <is>
          <t>Hortaleza</t>
        </is>
      </c>
      <c r="D1853" s="4" t="n">
        <v>52</v>
      </c>
      <c r="E1853" s="4" t="inlineStr">
        <is>
          <t>a reformar</t>
        </is>
      </c>
      <c r="F1853" s="22" t="n">
        <v>156000</v>
      </c>
      <c r="G1853" s="23" t="n">
        <v>3000</v>
      </c>
      <c r="H1853" s="22" t="n">
        <v>264994</v>
      </c>
      <c r="I1853" s="23" t="n">
        <v>5096.05</v>
      </c>
      <c r="J1853" s="18" t="n">
        <v>-0.4113</v>
      </c>
      <c r="K1853" s="24" t="n">
        <v>100</v>
      </c>
      <c r="L1853" s="4" t="n">
        <v>11</v>
      </c>
      <c r="M1853" s="4" t="inlineStr">
        <is>
          <t>media</t>
        </is>
      </c>
      <c r="N1853" s="4" t="inlineStr">
        <is>
          <t>por debajo de comparables</t>
        </is>
      </c>
      <c r="O1853" s="4" t="n"/>
    </row>
    <row r="1854">
      <c r="A1854" s="4" t="inlineStr">
        <is>
          <t>MD-0605</t>
        </is>
      </c>
      <c r="B1854" s="21" t="n">
        <v>46240</v>
      </c>
      <c r="C1854" s="4" t="inlineStr">
        <is>
          <t>Salamanca</t>
        </is>
      </c>
      <c r="D1854" s="4" t="n">
        <v>62</v>
      </c>
      <c r="E1854" s="4" t="inlineStr">
        <is>
          <t>buen estado</t>
        </is>
      </c>
      <c r="F1854" s="22" t="n">
        <v>611000</v>
      </c>
      <c r="G1854" s="23" t="n">
        <v>9854.84</v>
      </c>
      <c r="H1854" s="22" t="n">
        <v>602530</v>
      </c>
      <c r="I1854" s="23" t="n">
        <v>9718.219999999999</v>
      </c>
      <c r="J1854" s="18" t="n">
        <v>0.0141</v>
      </c>
      <c r="K1854" s="24" t="n">
        <v>46.5</v>
      </c>
      <c r="L1854" s="4" t="n">
        <v>22</v>
      </c>
      <c r="M1854" s="4" t="inlineStr">
        <is>
          <t>alta</t>
        </is>
      </c>
      <c r="N1854" s="4" t="inlineStr">
        <is>
          <t>en linea con comparables</t>
        </is>
      </c>
      <c r="O1854" s="4" t="n"/>
    </row>
    <row r="1855">
      <c r="A1855" s="4" t="inlineStr">
        <is>
          <t>MD-0452</t>
        </is>
      </c>
      <c r="B1855" s="21" t="n">
        <v>46240</v>
      </c>
      <c r="C1855" s="4" t="inlineStr">
        <is>
          <t>Ciudad Lineal</t>
        </is>
      </c>
      <c r="D1855" s="4" t="n">
        <v>75</v>
      </c>
      <c r="E1855" s="4" t="inlineStr">
        <is>
          <t>buen estado</t>
        </is>
      </c>
      <c r="F1855" s="22" t="n">
        <v>302000</v>
      </c>
      <c r="G1855" s="23" t="n">
        <v>4026.67</v>
      </c>
      <c r="H1855" s="22" t="n">
        <v>363461</v>
      </c>
      <c r="I1855" s="23" t="n">
        <v>4846.15</v>
      </c>
      <c r="J1855" s="18" t="n">
        <v>-0.1691</v>
      </c>
      <c r="K1855" s="24" t="n">
        <v>92.3</v>
      </c>
      <c r="L1855" s="4" t="n">
        <v>43</v>
      </c>
      <c r="M1855" s="4" t="inlineStr">
        <is>
          <t>alta</t>
        </is>
      </c>
      <c r="N1855" s="4" t="inlineStr">
        <is>
          <t>por debajo de comparables</t>
        </is>
      </c>
      <c r="O1855" s="4" t="n"/>
    </row>
    <row r="1856">
      <c r="A1856" s="4" t="inlineStr">
        <is>
          <t>MD-1928</t>
        </is>
      </c>
      <c r="B1856" s="21" t="n">
        <v>46240</v>
      </c>
      <c r="C1856" s="4" t="inlineStr">
        <is>
          <t>Tetuan</t>
        </is>
      </c>
      <c r="D1856" s="4" t="n">
        <v>48</v>
      </c>
      <c r="E1856" s="4" t="inlineStr">
        <is>
          <t>buen estado</t>
        </is>
      </c>
      <c r="F1856" s="22" t="n">
        <v>318000</v>
      </c>
      <c r="G1856" s="23" t="n">
        <v>6625</v>
      </c>
      <c r="H1856" s="22" t="n">
        <v>253911</v>
      </c>
      <c r="I1856" s="23" t="n">
        <v>5289.82</v>
      </c>
      <c r="J1856" s="18" t="n">
        <v>0.2524</v>
      </c>
      <c r="K1856" s="24" t="n">
        <v>0</v>
      </c>
      <c r="L1856" s="4" t="n">
        <v>14</v>
      </c>
      <c r="M1856" s="4" t="inlineStr">
        <is>
          <t>media</t>
        </is>
      </c>
      <c r="N1856" s="4" t="inlineStr">
        <is>
          <t>por encima de comparables</t>
        </is>
      </c>
      <c r="O1856" s="4" t="n"/>
    </row>
    <row r="1857">
      <c r="A1857" s="4" t="inlineStr">
        <is>
          <t>MD-0929</t>
        </is>
      </c>
      <c r="B1857" s="21" t="n">
        <v>46240</v>
      </c>
      <c r="C1857" s="4" t="inlineStr">
        <is>
          <t>Tetuan</t>
        </is>
      </c>
      <c r="D1857" s="4" t="n">
        <v>78</v>
      </c>
      <c r="E1857" s="4" t="inlineStr">
        <is>
          <t>a reformar</t>
        </is>
      </c>
      <c r="F1857" s="22" t="n">
        <v>289000</v>
      </c>
      <c r="G1857" s="23" t="n">
        <v>3705.13</v>
      </c>
      <c r="H1857" s="22" t="n">
        <v>370108</v>
      </c>
      <c r="I1857" s="23" t="n">
        <v>4744.98</v>
      </c>
      <c r="J1857" s="18" t="n">
        <v>-0.2191</v>
      </c>
      <c r="K1857" s="24" t="n">
        <v>100</v>
      </c>
      <c r="L1857" s="4" t="n">
        <v>33</v>
      </c>
      <c r="M1857" s="4" t="inlineStr">
        <is>
          <t>alta</t>
        </is>
      </c>
      <c r="N1857" s="4" t="inlineStr">
        <is>
          <t>por debajo de comparables</t>
        </is>
      </c>
      <c r="O1857" s="4" t="n"/>
    </row>
    <row r="1858">
      <c r="A1858" s="4" t="inlineStr">
        <is>
          <t>MD-1581</t>
        </is>
      </c>
      <c r="B1858" s="21" t="n">
        <v>46240</v>
      </c>
      <c r="C1858" s="4" t="inlineStr">
        <is>
          <t>Usera</t>
        </is>
      </c>
      <c r="D1858" s="4" t="n">
        <v>76</v>
      </c>
      <c r="E1858" s="4" t="inlineStr">
        <is>
          <t>reformado</t>
        </is>
      </c>
      <c r="F1858" s="22" t="n">
        <v>175000</v>
      </c>
      <c r="G1858" s="23" t="n">
        <v>2302.63</v>
      </c>
      <c r="H1858" s="22" t="n">
        <v>239502</v>
      </c>
      <c r="I1858" s="23" t="n">
        <v>3151.34</v>
      </c>
      <c r="J1858" s="18" t="n">
        <v>-0.2693</v>
      </c>
      <c r="K1858" s="24" t="n">
        <v>100</v>
      </c>
      <c r="L1858" s="4" t="n">
        <v>12</v>
      </c>
      <c r="M1858" s="4" t="inlineStr">
        <is>
          <t>media</t>
        </is>
      </c>
      <c r="N1858" s="4" t="inlineStr">
        <is>
          <t>por debajo de comparables</t>
        </is>
      </c>
      <c r="O1858" s="4" t="n"/>
    </row>
    <row r="1859">
      <c r="A1859" s="4" t="inlineStr">
        <is>
          <t>MD-1086</t>
        </is>
      </c>
      <c r="B1859" s="21" t="n">
        <v>46240</v>
      </c>
      <c r="C1859" s="4" t="inlineStr">
        <is>
          <t>Salamanca</t>
        </is>
      </c>
      <c r="D1859" s="4" t="n">
        <v>31</v>
      </c>
      <c r="E1859" s="4" t="inlineStr">
        <is>
          <t>a reformar</t>
        </is>
      </c>
      <c r="F1859" s="22" t="n">
        <v>227000</v>
      </c>
      <c r="G1859" s="23" t="n">
        <v>7322.58</v>
      </c>
      <c r="H1859" s="22" t="n">
        <v>209559</v>
      </c>
      <c r="I1859" s="23" t="n">
        <v>6759.97</v>
      </c>
      <c r="J1859" s="18" t="n">
        <v>0.0832</v>
      </c>
      <c r="K1859" s="24" t="n">
        <v>29.2</v>
      </c>
      <c r="L1859" s="4" t="n">
        <v>9</v>
      </c>
      <c r="M1859" s="4" t="inlineStr">
        <is>
          <t>media</t>
        </is>
      </c>
      <c r="N1859" s="4" t="inlineStr">
        <is>
          <t>en linea con comparables</t>
        </is>
      </c>
      <c r="O1859" s="4" t="n"/>
    </row>
    <row r="1860">
      <c r="A1860" s="4" t="inlineStr">
        <is>
          <t>MD-0464</t>
        </is>
      </c>
      <c r="B1860" s="21" t="n">
        <v>46240</v>
      </c>
      <c r="C1860" s="4" t="inlineStr">
        <is>
          <t>Arganzuela</t>
        </is>
      </c>
      <c r="D1860" s="4" t="n">
        <v>122</v>
      </c>
      <c r="E1860" s="4" t="inlineStr">
        <is>
          <t>reformado</t>
        </is>
      </c>
      <c r="F1860" s="22" t="n">
        <v>798000</v>
      </c>
      <c r="G1860" s="23" t="n">
        <v>6540.98</v>
      </c>
      <c r="H1860" s="22" t="n">
        <v>832980</v>
      </c>
      <c r="I1860" s="23" t="n">
        <v>6827.7</v>
      </c>
      <c r="J1860" s="18" t="n">
        <v>-0.042</v>
      </c>
      <c r="K1860" s="24" t="n">
        <v>60.5</v>
      </c>
      <c r="L1860" s="4" t="n">
        <v>6</v>
      </c>
      <c r="M1860" s="4" t="inlineStr">
        <is>
          <t>baja</t>
        </is>
      </c>
      <c r="N1860" s="4" t="inlineStr">
        <is>
          <t>en linea con comparables</t>
        </is>
      </c>
      <c r="O1860" s="4" t="n"/>
    </row>
    <row r="1861">
      <c r="A1861" s="4" t="inlineStr">
        <is>
          <t>MD-1636</t>
        </is>
      </c>
      <c r="B1861" s="21" t="n">
        <v>46240</v>
      </c>
      <c r="C1861" s="4" t="inlineStr">
        <is>
          <t>Centro</t>
        </is>
      </c>
      <c r="D1861" s="4" t="n">
        <v>175</v>
      </c>
      <c r="E1861" s="4" t="inlineStr">
        <is>
          <t>reformado</t>
        </is>
      </c>
      <c r="F1861" s="22" t="n">
        <v>1331000</v>
      </c>
      <c r="G1861" s="23" t="n">
        <v>7605.71</v>
      </c>
      <c r="H1861" s="22" t="n">
        <v>1189935</v>
      </c>
      <c r="I1861" s="23" t="n">
        <v>6799.63</v>
      </c>
      <c r="J1861" s="18" t="n">
        <v>0.1185</v>
      </c>
      <c r="K1861" s="24" t="n">
        <v>20.4</v>
      </c>
      <c r="L1861" s="4" t="n">
        <v>8</v>
      </c>
      <c r="M1861" s="4" t="inlineStr">
        <is>
          <t>media</t>
        </is>
      </c>
      <c r="N1861" s="4" t="inlineStr">
        <is>
          <t>por encima de comparables</t>
        </is>
      </c>
      <c r="O1861" s="4" t="n"/>
    </row>
    <row r="1862">
      <c r="A1862" s="4" t="inlineStr">
        <is>
          <t>MD-1853</t>
        </is>
      </c>
      <c r="B1862" s="21" t="n">
        <v>46240</v>
      </c>
      <c r="C1862" s="4" t="inlineStr">
        <is>
          <t>Moncloa-Aravaca</t>
        </is>
      </c>
      <c r="D1862" s="4" t="n">
        <v>89</v>
      </c>
      <c r="E1862" s="4" t="inlineStr">
        <is>
          <t>a reformar</t>
        </is>
      </c>
      <c r="F1862" s="22" t="n">
        <v>382000</v>
      </c>
      <c r="G1862" s="23" t="n">
        <v>4292.13</v>
      </c>
      <c r="H1862" s="22" t="n">
        <v>423525</v>
      </c>
      <c r="I1862" s="23" t="n">
        <v>4758.7</v>
      </c>
      <c r="J1862" s="18" t="n">
        <v>-0.098</v>
      </c>
      <c r="K1862" s="24" t="n">
        <v>74.5</v>
      </c>
      <c r="L1862" s="4" t="n">
        <v>9</v>
      </c>
      <c r="M1862" s="4" t="inlineStr">
        <is>
          <t>media</t>
        </is>
      </c>
      <c r="N1862" s="4" t="inlineStr">
        <is>
          <t>en linea con comparables</t>
        </is>
      </c>
      <c r="O1862" s="4" t="n"/>
    </row>
    <row r="1863">
      <c r="A1863" s="4" t="inlineStr">
        <is>
          <t>MD-0623</t>
        </is>
      </c>
      <c r="B1863" s="21" t="n">
        <v>46241</v>
      </c>
      <c r="C1863" s="4" t="inlineStr">
        <is>
          <t>Puente de Vallecas</t>
        </is>
      </c>
      <c r="D1863" s="4" t="n">
        <v>80</v>
      </c>
      <c r="E1863" s="4" t="inlineStr">
        <is>
          <t>buen estado</t>
        </is>
      </c>
      <c r="F1863" s="22" t="n">
        <v>174000</v>
      </c>
      <c r="G1863" s="23" t="n">
        <v>2175</v>
      </c>
      <c r="H1863" s="22" t="n">
        <v>240163</v>
      </c>
      <c r="I1863" s="23" t="n">
        <v>3002.04</v>
      </c>
      <c r="J1863" s="18" t="n">
        <v>-0.2755</v>
      </c>
      <c r="K1863" s="24" t="n">
        <v>100</v>
      </c>
      <c r="L1863" s="4" t="n">
        <v>33</v>
      </c>
      <c r="M1863" s="4" t="inlineStr">
        <is>
          <t>media</t>
        </is>
      </c>
      <c r="N1863" s="4" t="inlineStr">
        <is>
          <t>por debajo de comparables</t>
        </is>
      </c>
      <c r="O1863" s="4" t="n"/>
    </row>
    <row r="1864">
      <c r="A1864" s="4" t="inlineStr">
        <is>
          <t>MD-0601</t>
        </is>
      </c>
      <c r="B1864" s="21" t="n">
        <v>46241</v>
      </c>
      <c r="C1864" s="4" t="inlineStr">
        <is>
          <t>Carabanchel</t>
        </is>
      </c>
      <c r="D1864" s="4" t="n">
        <v>52</v>
      </c>
      <c r="E1864" s="4" t="inlineStr">
        <is>
          <t>a reformar</t>
        </is>
      </c>
      <c r="F1864" s="22" t="n">
        <v>120000</v>
      </c>
      <c r="G1864" s="23" t="n">
        <v>2307.69</v>
      </c>
      <c r="H1864" s="22" t="n">
        <v>148295</v>
      </c>
      <c r="I1864" s="23" t="n">
        <v>2851.83</v>
      </c>
      <c r="J1864" s="18" t="n">
        <v>-0.1908</v>
      </c>
      <c r="K1864" s="24" t="n">
        <v>97.7</v>
      </c>
      <c r="L1864" s="4" t="n">
        <v>38</v>
      </c>
      <c r="M1864" s="4" t="inlineStr">
        <is>
          <t>alta</t>
        </is>
      </c>
      <c r="N1864" s="4" t="inlineStr">
        <is>
          <t>por debajo de comparables</t>
        </is>
      </c>
      <c r="O1864" s="4" t="n"/>
    </row>
    <row r="1865">
      <c r="A1865" s="4" t="inlineStr">
        <is>
          <t>MD-0817</t>
        </is>
      </c>
      <c r="B1865" s="21" t="n">
        <v>46241</v>
      </c>
      <c r="C1865" s="4" t="inlineStr">
        <is>
          <t>Vicalvaro</t>
        </is>
      </c>
      <c r="D1865" s="4" t="n">
        <v>113</v>
      </c>
      <c r="E1865" s="4" t="inlineStr">
        <is>
          <t>buen estado</t>
        </is>
      </c>
      <c r="F1865" s="22" t="n">
        <v>314000</v>
      </c>
      <c r="G1865" s="23" t="n">
        <v>2778.76</v>
      </c>
      <c r="H1865" s="22" t="n">
        <v>416893</v>
      </c>
      <c r="I1865" s="23" t="n">
        <v>3689.32</v>
      </c>
      <c r="J1865" s="18" t="n">
        <v>-0.2468</v>
      </c>
      <c r="K1865" s="24" t="n">
        <v>100</v>
      </c>
      <c r="L1865" s="4" t="n">
        <v>19</v>
      </c>
      <c r="M1865" s="4" t="inlineStr">
        <is>
          <t>alta</t>
        </is>
      </c>
      <c r="N1865" s="4" t="inlineStr">
        <is>
          <t>por debajo de comparables</t>
        </is>
      </c>
      <c r="O1865" s="4" t="n"/>
    </row>
    <row r="1866">
      <c r="A1866" s="4" t="inlineStr">
        <is>
          <t>MD-0639</t>
        </is>
      </c>
      <c r="B1866" s="21" t="n">
        <v>46241</v>
      </c>
      <c r="C1866" s="4" t="inlineStr">
        <is>
          <t>Moncloa-Aravaca</t>
        </is>
      </c>
      <c r="D1866" s="4" t="n">
        <v>80</v>
      </c>
      <c r="E1866" s="4" t="inlineStr">
        <is>
          <t>reformado</t>
        </is>
      </c>
      <c r="F1866" s="22" t="n">
        <v>570000</v>
      </c>
      <c r="G1866" s="23" t="n">
        <v>7125</v>
      </c>
      <c r="H1866" s="22" t="n">
        <v>537374</v>
      </c>
      <c r="I1866" s="23" t="n">
        <v>6717.17</v>
      </c>
      <c r="J1866" s="18" t="n">
        <v>0.0607</v>
      </c>
      <c r="K1866" s="24" t="n">
        <v>34.8</v>
      </c>
      <c r="L1866" s="4" t="n">
        <v>12</v>
      </c>
      <c r="M1866" s="4" t="inlineStr">
        <is>
          <t>media</t>
        </is>
      </c>
      <c r="N1866" s="4" t="inlineStr">
        <is>
          <t>en linea con comparables</t>
        </is>
      </c>
      <c r="O1866" s="4" t="n"/>
    </row>
    <row r="1867">
      <c r="A1867" s="4" t="inlineStr">
        <is>
          <t>MD-0830</t>
        </is>
      </c>
      <c r="B1867" s="21" t="n">
        <v>46241</v>
      </c>
      <c r="C1867" s="4" t="inlineStr">
        <is>
          <t>San Blas-Canillejas</t>
        </is>
      </c>
      <c r="D1867" s="4" t="n">
        <v>65</v>
      </c>
      <c r="E1867" s="4" t="inlineStr">
        <is>
          <t>a reformar</t>
        </is>
      </c>
      <c r="F1867" s="22" t="n">
        <v>172000</v>
      </c>
      <c r="G1867" s="23" t="n">
        <v>2646.15</v>
      </c>
      <c r="H1867" s="22" t="n">
        <v>197729</v>
      </c>
      <c r="I1867" s="23" t="n">
        <v>3041.99</v>
      </c>
      <c r="J1867" s="18" t="n">
        <v>-0.1301</v>
      </c>
      <c r="K1867" s="24" t="n">
        <v>82.5</v>
      </c>
      <c r="L1867" s="4" t="n">
        <v>19</v>
      </c>
      <c r="M1867" s="4" t="inlineStr">
        <is>
          <t>alta</t>
        </is>
      </c>
      <c r="N1867" s="4" t="inlineStr">
        <is>
          <t>por debajo de comparables</t>
        </is>
      </c>
      <c r="O1867" s="4" t="n"/>
    </row>
    <row r="1868">
      <c r="A1868" s="4" t="inlineStr">
        <is>
          <t>MD-1064</t>
        </is>
      </c>
      <c r="B1868" s="21" t="n">
        <v>46242</v>
      </c>
      <c r="C1868" s="4" t="inlineStr">
        <is>
          <t>Usera</t>
        </is>
      </c>
      <c r="D1868" s="4" t="n">
        <v>60</v>
      </c>
      <c r="E1868" s="4" t="inlineStr">
        <is>
          <t>buen estado</t>
        </is>
      </c>
      <c r="F1868" s="22" t="n">
        <v>142000</v>
      </c>
      <c r="G1868" s="23" t="n">
        <v>2366.67</v>
      </c>
      <c r="H1868" s="22" t="n">
        <v>184415</v>
      </c>
      <c r="I1868" s="23" t="n">
        <v>3073.59</v>
      </c>
      <c r="J1868" s="18" t="n">
        <v>-0.23</v>
      </c>
      <c r="K1868" s="24" t="n">
        <v>100</v>
      </c>
      <c r="L1868" s="4" t="n">
        <v>10</v>
      </c>
      <c r="M1868" s="4" t="inlineStr">
        <is>
          <t>media</t>
        </is>
      </c>
      <c r="N1868" s="4" t="inlineStr">
        <is>
          <t>por debajo de comparables</t>
        </is>
      </c>
      <c r="O1868" s="4" t="n"/>
    </row>
    <row r="1869">
      <c r="A1869" s="4" t="inlineStr">
        <is>
          <t>MD-0013</t>
        </is>
      </c>
      <c r="B1869" s="21" t="n">
        <v>46242</v>
      </c>
      <c r="C1869" s="4" t="inlineStr">
        <is>
          <t>Latina</t>
        </is>
      </c>
      <c r="D1869" s="4" t="n">
        <v>65</v>
      </c>
      <c r="E1869" s="4" t="inlineStr">
        <is>
          <t>buen estado</t>
        </is>
      </c>
      <c r="F1869" s="22" t="n">
        <v>199000</v>
      </c>
      <c r="G1869" s="23" t="n">
        <v>3061.54</v>
      </c>
      <c r="H1869" s="22" t="n">
        <v>222330</v>
      </c>
      <c r="I1869" s="23" t="n">
        <v>3420.45</v>
      </c>
      <c r="J1869" s="18" t="n">
        <v>-0.1049</v>
      </c>
      <c r="K1869" s="24" t="n">
        <v>76.2</v>
      </c>
      <c r="L1869" s="4" t="n">
        <v>44</v>
      </c>
      <c r="M1869" s="4" t="inlineStr">
        <is>
          <t>media</t>
        </is>
      </c>
      <c r="N1869" s="4" t="inlineStr">
        <is>
          <t>por debajo de comparables</t>
        </is>
      </c>
      <c r="O1869" s="4" t="n"/>
    </row>
    <row r="1870">
      <c r="A1870" s="4" t="inlineStr">
        <is>
          <t>MD-0315</t>
        </is>
      </c>
      <c r="B1870" s="21" t="n">
        <v>46242</v>
      </c>
      <c r="C1870" s="4" t="inlineStr">
        <is>
          <t>Villaverde</t>
        </is>
      </c>
      <c r="D1870" s="4" t="n">
        <v>142</v>
      </c>
      <c r="E1870" s="4" t="inlineStr">
        <is>
          <t>reformado</t>
        </is>
      </c>
      <c r="F1870" s="22" t="n">
        <v>349000</v>
      </c>
      <c r="G1870" s="23" t="n">
        <v>2457.75</v>
      </c>
      <c r="H1870" s="22" t="n"/>
      <c r="I1870" s="23" t="n"/>
      <c r="J1870" s="18" t="n"/>
      <c r="K1870" s="24" t="n"/>
      <c r="L1870" s="4" t="n">
        <v>0</v>
      </c>
      <c r="M1870" s="4" t="inlineStr">
        <is>
          <t>sin muestra</t>
        </is>
      </c>
      <c r="N1870" s="4" t="inlineStr">
        <is>
          <t>no valorable</t>
        </is>
      </c>
      <c r="O1870" s="4" t="inlineStr">
        <is>
          <t>segmento con pocas operaciones comparables</t>
        </is>
      </c>
    </row>
    <row r="1871">
      <c r="A1871" s="4" t="inlineStr">
        <is>
          <t>MD-0525</t>
        </is>
      </c>
      <c r="B1871" s="21" t="n">
        <v>46242</v>
      </c>
      <c r="C1871" s="4" t="inlineStr">
        <is>
          <t>Puente de Vallecas</t>
        </is>
      </c>
      <c r="D1871" s="4" t="n">
        <v>61</v>
      </c>
      <c r="E1871" s="4" t="inlineStr">
        <is>
          <t>buen estado</t>
        </is>
      </c>
      <c r="F1871" s="22" t="n">
        <v>250000</v>
      </c>
      <c r="G1871" s="23" t="n">
        <v>4098.36</v>
      </c>
      <c r="H1871" s="22" t="n">
        <v>180275</v>
      </c>
      <c r="I1871" s="23" t="n">
        <v>2955.32</v>
      </c>
      <c r="J1871" s="18" t="n">
        <v>0.3868</v>
      </c>
      <c r="K1871" s="24" t="n">
        <v>0</v>
      </c>
      <c r="L1871" s="4" t="n">
        <v>31</v>
      </c>
      <c r="M1871" s="4" t="inlineStr">
        <is>
          <t>media</t>
        </is>
      </c>
      <c r="N1871" s="4" t="inlineStr">
        <is>
          <t>por encima de comparables</t>
        </is>
      </c>
      <c r="O1871" s="4" t="n"/>
    </row>
    <row r="1872">
      <c r="A1872" s="4" t="inlineStr">
        <is>
          <t>MD-1363</t>
        </is>
      </c>
      <c r="B1872" s="21" t="n">
        <v>46243</v>
      </c>
      <c r="C1872" s="4" t="inlineStr">
        <is>
          <t>Usera</t>
        </is>
      </c>
      <c r="D1872" s="4" t="n">
        <v>87</v>
      </c>
      <c r="E1872" s="4" t="inlineStr">
        <is>
          <t>buen estado</t>
        </is>
      </c>
      <c r="F1872" s="22" t="n">
        <v>246000</v>
      </c>
      <c r="G1872" s="23" t="n">
        <v>2827.59</v>
      </c>
      <c r="H1872" s="22" t="n">
        <v>236311</v>
      </c>
      <c r="I1872" s="23" t="n">
        <v>2716.22</v>
      </c>
      <c r="J1872" s="18" t="n">
        <v>0.041</v>
      </c>
      <c r="K1872" s="24" t="n">
        <v>39.7</v>
      </c>
      <c r="L1872" s="4" t="n">
        <v>9</v>
      </c>
      <c r="M1872" s="4" t="inlineStr">
        <is>
          <t>media</t>
        </is>
      </c>
      <c r="N1872" s="4" t="inlineStr">
        <is>
          <t>en linea con comparables</t>
        </is>
      </c>
      <c r="O1872" s="4" t="n"/>
    </row>
    <row r="1873">
      <c r="A1873" s="4" t="inlineStr">
        <is>
          <t>MD-1293</t>
        </is>
      </c>
      <c r="B1873" s="21" t="n">
        <v>46243</v>
      </c>
      <c r="C1873" s="4" t="inlineStr">
        <is>
          <t>Usera</t>
        </is>
      </c>
      <c r="D1873" s="4" t="n">
        <v>98</v>
      </c>
      <c r="E1873" s="4" t="inlineStr">
        <is>
          <t>obra nueva</t>
        </is>
      </c>
      <c r="F1873" s="22" t="n">
        <v>254000</v>
      </c>
      <c r="G1873" s="23" t="n">
        <v>2591.84</v>
      </c>
      <c r="H1873" s="22" t="n">
        <v>326222</v>
      </c>
      <c r="I1873" s="23" t="n">
        <v>3328.8</v>
      </c>
      <c r="J1873" s="18" t="n">
        <v>-0.2214</v>
      </c>
      <c r="K1873" s="24" t="n">
        <v>100</v>
      </c>
      <c r="L1873" s="4" t="n">
        <v>5</v>
      </c>
      <c r="M1873" s="4" t="inlineStr">
        <is>
          <t>baja</t>
        </is>
      </c>
      <c r="N1873" s="4" t="inlineStr">
        <is>
          <t>por debajo de comparables</t>
        </is>
      </c>
      <c r="O1873" s="4" t="n"/>
    </row>
    <row r="1874">
      <c r="A1874" s="4" t="inlineStr">
        <is>
          <t>MD-0994</t>
        </is>
      </c>
      <c r="B1874" s="21" t="n">
        <v>46243</v>
      </c>
      <c r="C1874" s="4" t="inlineStr">
        <is>
          <t>Retiro</t>
        </is>
      </c>
      <c r="D1874" s="4" t="n">
        <v>93</v>
      </c>
      <c r="E1874" s="4" t="inlineStr">
        <is>
          <t>obra nueva</t>
        </is>
      </c>
      <c r="F1874" s="22" t="n">
        <v>976000</v>
      </c>
      <c r="G1874" s="23" t="n">
        <v>10494.62</v>
      </c>
      <c r="H1874" s="22" t="n">
        <v>735593</v>
      </c>
      <c r="I1874" s="23" t="n">
        <v>7909.6</v>
      </c>
      <c r="J1874" s="18" t="n">
        <v>0.3268</v>
      </c>
      <c r="K1874" s="24" t="n">
        <v>0</v>
      </c>
      <c r="L1874" s="4" t="n">
        <v>11</v>
      </c>
      <c r="M1874" s="4" t="inlineStr">
        <is>
          <t>media</t>
        </is>
      </c>
      <c r="N1874" s="4" t="inlineStr">
        <is>
          <t>por encima de comparables</t>
        </is>
      </c>
      <c r="O1874" s="4" t="n"/>
    </row>
    <row r="1875">
      <c r="A1875" s="4" t="inlineStr">
        <is>
          <t>MD-1764</t>
        </is>
      </c>
      <c r="B1875" s="21" t="n">
        <v>46243</v>
      </c>
      <c r="C1875" s="4" t="inlineStr">
        <is>
          <t>Fuencarral-El Pardo</t>
        </is>
      </c>
      <c r="D1875" s="4" t="n">
        <v>66</v>
      </c>
      <c r="E1875" s="4" t="inlineStr">
        <is>
          <t>reformado</t>
        </is>
      </c>
      <c r="F1875" s="22" t="n">
        <v>326000</v>
      </c>
      <c r="G1875" s="23" t="n">
        <v>4939.39</v>
      </c>
      <c r="H1875" s="22" t="n">
        <v>432983</v>
      </c>
      <c r="I1875" s="23" t="n">
        <v>6560.35</v>
      </c>
      <c r="J1875" s="18" t="n">
        <v>-0.2471</v>
      </c>
      <c r="K1875" s="24" t="n">
        <v>100</v>
      </c>
      <c r="L1875" s="4" t="n">
        <v>20</v>
      </c>
      <c r="M1875" s="4" t="inlineStr">
        <is>
          <t>alta</t>
        </is>
      </c>
      <c r="N1875" s="4" t="inlineStr">
        <is>
          <t>por debajo de comparables</t>
        </is>
      </c>
      <c r="O1875" s="4" t="n"/>
    </row>
    <row r="1876">
      <c r="A1876" s="4" t="inlineStr">
        <is>
          <t>MD-0279</t>
        </is>
      </c>
      <c r="B1876" s="21" t="n">
        <v>46243</v>
      </c>
      <c r="C1876" s="4" t="inlineStr">
        <is>
          <t>Carabanchel</t>
        </is>
      </c>
      <c r="D1876" s="4" t="n">
        <v>86</v>
      </c>
      <c r="E1876" s="4" t="inlineStr">
        <is>
          <t>reformado</t>
        </is>
      </c>
      <c r="F1876" s="22" t="n">
        <v>266000</v>
      </c>
      <c r="G1876" s="23" t="n">
        <v>3093.02</v>
      </c>
      <c r="H1876" s="22" t="n">
        <v>283089</v>
      </c>
      <c r="I1876" s="23" t="n">
        <v>3291.73</v>
      </c>
      <c r="J1876" s="18" t="n">
        <v>-0.0604</v>
      </c>
      <c r="K1876" s="24" t="n">
        <v>65.09999999999999</v>
      </c>
      <c r="L1876" s="4" t="n">
        <v>30</v>
      </c>
      <c r="M1876" s="4" t="inlineStr">
        <is>
          <t>media</t>
        </is>
      </c>
      <c r="N1876" s="4" t="inlineStr">
        <is>
          <t>en linea con comparables</t>
        </is>
      </c>
      <c r="O1876" s="4" t="n"/>
    </row>
    <row r="1877">
      <c r="A1877" s="4" t="inlineStr">
        <is>
          <t>MD-0449</t>
        </is>
      </c>
      <c r="B1877" s="21" t="n">
        <v>46243</v>
      </c>
      <c r="C1877" s="4" t="inlineStr">
        <is>
          <t>Tetuan</t>
        </is>
      </c>
      <c r="D1877" s="4" t="n">
        <v>80</v>
      </c>
      <c r="E1877" s="4" t="inlineStr">
        <is>
          <t>buen estado</t>
        </is>
      </c>
      <c r="F1877" s="22" t="n">
        <v>446000</v>
      </c>
      <c r="G1877" s="23" t="n">
        <v>5575</v>
      </c>
      <c r="H1877" s="22" t="n">
        <v>430976</v>
      </c>
      <c r="I1877" s="23" t="n">
        <v>5387.21</v>
      </c>
      <c r="J1877" s="18" t="n">
        <v>0.0349</v>
      </c>
      <c r="K1877" s="24" t="n">
        <v>41.3</v>
      </c>
      <c r="L1877" s="4" t="n">
        <v>34</v>
      </c>
      <c r="M1877" s="4" t="inlineStr">
        <is>
          <t>alta</t>
        </is>
      </c>
      <c r="N1877" s="4" t="inlineStr">
        <is>
          <t>en linea con comparables</t>
        </is>
      </c>
      <c r="O1877" s="4" t="n"/>
    </row>
    <row r="1878">
      <c r="A1878" s="4" t="inlineStr">
        <is>
          <t>MD-1029</t>
        </is>
      </c>
      <c r="B1878" s="21" t="n">
        <v>46243</v>
      </c>
      <c r="C1878" s="4" t="inlineStr">
        <is>
          <t>Puente de Vallecas</t>
        </is>
      </c>
      <c r="D1878" s="4" t="n">
        <v>43</v>
      </c>
      <c r="E1878" s="4" t="inlineStr">
        <is>
          <t>reformado</t>
        </is>
      </c>
      <c r="F1878" s="22" t="n">
        <v>115000</v>
      </c>
      <c r="G1878" s="23" t="n">
        <v>2674.42</v>
      </c>
      <c r="H1878" s="22" t="n">
        <v>120613</v>
      </c>
      <c r="I1878" s="23" t="n">
        <v>2804.95</v>
      </c>
      <c r="J1878" s="18" t="n">
        <v>-0.0465</v>
      </c>
      <c r="K1878" s="24" t="n">
        <v>61.6</v>
      </c>
      <c r="L1878" s="4" t="n">
        <v>40</v>
      </c>
      <c r="M1878" s="4" t="inlineStr">
        <is>
          <t>alta</t>
        </is>
      </c>
      <c r="N1878" s="4" t="inlineStr">
        <is>
          <t>en linea con comparables</t>
        </is>
      </c>
      <c r="O1878" s="4" t="n"/>
    </row>
    <row r="1879">
      <c r="A1879" s="4" t="inlineStr">
        <is>
          <t>MD-1423</t>
        </is>
      </c>
      <c r="B1879" s="21" t="n">
        <v>46244</v>
      </c>
      <c r="C1879" s="4" t="inlineStr">
        <is>
          <t>Carabanchel</t>
        </is>
      </c>
      <c r="D1879" s="4" t="n">
        <v>60</v>
      </c>
      <c r="E1879" s="4" t="inlineStr">
        <is>
          <t>reformado</t>
        </is>
      </c>
      <c r="F1879" s="22" t="n">
        <v>157000</v>
      </c>
      <c r="G1879" s="23" t="n">
        <v>2616.67</v>
      </c>
      <c r="H1879" s="22" t="n">
        <v>194739</v>
      </c>
      <c r="I1879" s="23" t="n">
        <v>3245.65</v>
      </c>
      <c r="J1879" s="18" t="n">
        <v>-0.1938</v>
      </c>
      <c r="K1879" s="24" t="n">
        <v>98.40000000000001</v>
      </c>
      <c r="L1879" s="4" t="n">
        <v>44</v>
      </c>
      <c r="M1879" s="4" t="inlineStr">
        <is>
          <t>alta</t>
        </is>
      </c>
      <c r="N1879" s="4" t="inlineStr">
        <is>
          <t>por debajo de comparables</t>
        </is>
      </c>
      <c r="O1879" s="4" t="n"/>
    </row>
    <row r="1880">
      <c r="A1880" s="4" t="inlineStr">
        <is>
          <t>MD-1522</t>
        </is>
      </c>
      <c r="B1880" s="21" t="n">
        <v>46244</v>
      </c>
      <c r="C1880" s="4" t="inlineStr">
        <is>
          <t>Carabanchel</t>
        </is>
      </c>
      <c r="D1880" s="4" t="n">
        <v>72</v>
      </c>
      <c r="E1880" s="4" t="inlineStr">
        <is>
          <t>a reformar</t>
        </is>
      </c>
      <c r="F1880" s="22" t="n">
        <v>200000</v>
      </c>
      <c r="G1880" s="23" t="n">
        <v>2777.78</v>
      </c>
      <c r="H1880" s="22" t="n">
        <v>197521</v>
      </c>
      <c r="I1880" s="23" t="n">
        <v>2743.34</v>
      </c>
      <c r="J1880" s="18" t="n">
        <v>0.0126</v>
      </c>
      <c r="K1880" s="24" t="n">
        <v>46.9</v>
      </c>
      <c r="L1880" s="4" t="n">
        <v>39</v>
      </c>
      <c r="M1880" s="4" t="inlineStr">
        <is>
          <t>alta</t>
        </is>
      </c>
      <c r="N1880" s="4" t="inlineStr">
        <is>
          <t>en linea con comparables</t>
        </is>
      </c>
      <c r="O1880" s="4" t="n"/>
    </row>
    <row r="1881">
      <c r="A1881" s="4" t="inlineStr">
        <is>
          <t>MD-0373</t>
        </is>
      </c>
      <c r="B1881" s="21" t="n">
        <v>46244</v>
      </c>
      <c r="C1881" s="4" t="inlineStr">
        <is>
          <t>Centro</t>
        </is>
      </c>
      <c r="D1881" s="4" t="n">
        <v>110</v>
      </c>
      <c r="E1881" s="4" t="inlineStr">
        <is>
          <t>obra nueva</t>
        </is>
      </c>
      <c r="F1881" s="22" t="n">
        <v>836000</v>
      </c>
      <c r="G1881" s="23" t="n">
        <v>7600</v>
      </c>
      <c r="H1881" s="22" t="n">
        <v>870347</v>
      </c>
      <c r="I1881" s="23" t="n">
        <v>7912.25</v>
      </c>
      <c r="J1881" s="18" t="n">
        <v>-0.0395</v>
      </c>
      <c r="K1881" s="24" t="n">
        <v>59.9</v>
      </c>
      <c r="L1881" s="4" t="n">
        <v>21</v>
      </c>
      <c r="M1881" s="4" t="inlineStr">
        <is>
          <t>media</t>
        </is>
      </c>
      <c r="N1881" s="4" t="inlineStr">
        <is>
          <t>en linea con comparables</t>
        </is>
      </c>
      <c r="O1881" s="4" t="n"/>
    </row>
    <row r="1882">
      <c r="A1882" s="4" t="inlineStr">
        <is>
          <t>MD-0425</t>
        </is>
      </c>
      <c r="B1882" s="21" t="n">
        <v>46245</v>
      </c>
      <c r="C1882" s="4" t="inlineStr">
        <is>
          <t>Moratalaz</t>
        </is>
      </c>
      <c r="D1882" s="4" t="n">
        <v>86</v>
      </c>
      <c r="E1882" s="4" t="inlineStr">
        <is>
          <t>reformado</t>
        </is>
      </c>
      <c r="F1882" s="22" t="n">
        <v>402000</v>
      </c>
      <c r="G1882" s="23" t="n">
        <v>4674.42</v>
      </c>
      <c r="H1882" s="22" t="n">
        <v>329932</v>
      </c>
      <c r="I1882" s="23" t="n">
        <v>3836.42</v>
      </c>
      <c r="J1882" s="18" t="n">
        <v>0.2184</v>
      </c>
      <c r="K1882" s="24" t="n">
        <v>0</v>
      </c>
      <c r="L1882" s="4" t="n">
        <v>22</v>
      </c>
      <c r="M1882" s="4" t="inlineStr">
        <is>
          <t>alta</t>
        </is>
      </c>
      <c r="N1882" s="4" t="inlineStr">
        <is>
          <t>por encima de comparables</t>
        </is>
      </c>
      <c r="O1882" s="4" t="n"/>
    </row>
    <row r="1883">
      <c r="A1883" s="4" t="inlineStr">
        <is>
          <t>MD-0942</t>
        </is>
      </c>
      <c r="B1883" s="21" t="n">
        <v>46245</v>
      </c>
      <c r="C1883" s="4" t="inlineStr">
        <is>
          <t>Tetuan</t>
        </is>
      </c>
      <c r="D1883" s="4" t="n">
        <v>72</v>
      </c>
      <c r="E1883" s="4" t="inlineStr">
        <is>
          <t>reformado</t>
        </is>
      </c>
      <c r="F1883" s="22" t="n">
        <v>561000</v>
      </c>
      <c r="G1883" s="23" t="n">
        <v>7791.67</v>
      </c>
      <c r="H1883" s="22" t="n">
        <v>442912</v>
      </c>
      <c r="I1883" s="23" t="n">
        <v>6151.56</v>
      </c>
      <c r="J1883" s="18" t="n">
        <v>0.2666</v>
      </c>
      <c r="K1883" s="24" t="n">
        <v>0</v>
      </c>
      <c r="L1883" s="4" t="n">
        <v>37</v>
      </c>
      <c r="M1883" s="4" t="inlineStr">
        <is>
          <t>alta</t>
        </is>
      </c>
      <c r="N1883" s="4" t="inlineStr">
        <is>
          <t>por encima de comparables</t>
        </is>
      </c>
      <c r="O1883" s="4" t="n"/>
    </row>
    <row r="1884">
      <c r="A1884" s="4" t="inlineStr">
        <is>
          <t>MD-0735</t>
        </is>
      </c>
      <c r="B1884" s="21" t="n">
        <v>46245</v>
      </c>
      <c r="C1884" s="4" t="inlineStr">
        <is>
          <t>Ciudad Lineal</t>
        </is>
      </c>
      <c r="D1884" s="4" t="n">
        <v>69</v>
      </c>
      <c r="E1884" s="4" t="inlineStr">
        <is>
          <t>reformado</t>
        </is>
      </c>
      <c r="F1884" s="22" t="n">
        <v>372000</v>
      </c>
      <c r="G1884" s="23" t="n">
        <v>5391.3</v>
      </c>
      <c r="H1884" s="22" t="n">
        <v>327676</v>
      </c>
      <c r="I1884" s="23" t="n">
        <v>4748.93</v>
      </c>
      <c r="J1884" s="18" t="n">
        <v>0.1353</v>
      </c>
      <c r="K1884" s="24" t="n">
        <v>16.2</v>
      </c>
      <c r="L1884" s="4" t="n">
        <v>40</v>
      </c>
      <c r="M1884" s="4" t="inlineStr">
        <is>
          <t>alta</t>
        </is>
      </c>
      <c r="N1884" s="4" t="inlineStr">
        <is>
          <t>por encima de comparables</t>
        </is>
      </c>
      <c r="O1884" s="4" t="n"/>
    </row>
    <row r="1885">
      <c r="A1885" s="4" t="inlineStr">
        <is>
          <t>MD-0668</t>
        </is>
      </c>
      <c r="B1885" s="21" t="n">
        <v>46245</v>
      </c>
      <c r="C1885" s="4" t="inlineStr">
        <is>
          <t>Carabanchel</t>
        </is>
      </c>
      <c r="D1885" s="4" t="n">
        <v>66</v>
      </c>
      <c r="E1885" s="4" t="inlineStr">
        <is>
          <t>reformado</t>
        </is>
      </c>
      <c r="F1885" s="22" t="n">
        <v>250000</v>
      </c>
      <c r="G1885" s="23" t="n">
        <v>3787.88</v>
      </c>
      <c r="H1885" s="22" t="n">
        <v>214246</v>
      </c>
      <c r="I1885" s="23" t="n">
        <v>3246.15</v>
      </c>
      <c r="J1885" s="18" t="n">
        <v>0.1669</v>
      </c>
      <c r="K1885" s="24" t="n">
        <v>8.300000000000001</v>
      </c>
      <c r="L1885" s="4" t="n">
        <v>52</v>
      </c>
      <c r="M1885" s="4" t="inlineStr">
        <is>
          <t>alta</t>
        </is>
      </c>
      <c r="N1885" s="4" t="inlineStr">
        <is>
          <t>por encima de comparables</t>
        </is>
      </c>
      <c r="O1885" s="4" t="n"/>
    </row>
    <row r="1886">
      <c r="A1886" s="4" t="inlineStr">
        <is>
          <t>MD-0864</t>
        </is>
      </c>
      <c r="B1886" s="21" t="n">
        <v>46245</v>
      </c>
      <c r="C1886" s="4" t="inlineStr">
        <is>
          <t>Ciudad Lineal</t>
        </is>
      </c>
      <c r="D1886" s="4" t="n">
        <v>66</v>
      </c>
      <c r="E1886" s="4" t="inlineStr">
        <is>
          <t>buen estado</t>
        </is>
      </c>
      <c r="F1886" s="22" t="n">
        <v>278000</v>
      </c>
      <c r="G1886" s="23" t="n">
        <v>4212.12</v>
      </c>
      <c r="H1886" s="22" t="n">
        <v>252172</v>
      </c>
      <c r="I1886" s="23" t="n">
        <v>3820.79</v>
      </c>
      <c r="J1886" s="18" t="n">
        <v>0.1024</v>
      </c>
      <c r="K1886" s="24" t="n">
        <v>24.4</v>
      </c>
      <c r="L1886" s="4" t="n">
        <v>42</v>
      </c>
      <c r="M1886" s="4" t="inlineStr">
        <is>
          <t>alta</t>
        </is>
      </c>
      <c r="N1886" s="4" t="inlineStr">
        <is>
          <t>por encima de comparables</t>
        </is>
      </c>
      <c r="O1886" s="4" t="n"/>
    </row>
    <row r="1887">
      <c r="A1887" s="4" t="inlineStr">
        <is>
          <t>MD-0253</t>
        </is>
      </c>
      <c r="B1887" s="21" t="n">
        <v>46246</v>
      </c>
      <c r="C1887" s="4" t="inlineStr">
        <is>
          <t>Villaverde</t>
        </is>
      </c>
      <c r="D1887" s="4" t="n">
        <v>60</v>
      </c>
      <c r="E1887" s="4" t="inlineStr">
        <is>
          <t>buen estado</t>
        </is>
      </c>
      <c r="F1887" s="22" t="n">
        <v>194000</v>
      </c>
      <c r="G1887" s="23" t="n">
        <v>3233.33</v>
      </c>
      <c r="H1887" s="22" t="n">
        <v>146838</v>
      </c>
      <c r="I1887" s="23" t="n">
        <v>2447.3</v>
      </c>
      <c r="J1887" s="18" t="n">
        <v>0.3212</v>
      </c>
      <c r="K1887" s="24" t="n">
        <v>0</v>
      </c>
      <c r="L1887" s="4" t="n">
        <v>9</v>
      </c>
      <c r="M1887" s="4" t="inlineStr">
        <is>
          <t>media</t>
        </is>
      </c>
      <c r="N1887" s="4" t="inlineStr">
        <is>
          <t>por encima de comparables</t>
        </is>
      </c>
      <c r="O1887" s="4" t="n"/>
    </row>
    <row r="1888">
      <c r="A1888" s="4" t="inlineStr">
        <is>
          <t>MD-1095</t>
        </is>
      </c>
      <c r="B1888" s="21" t="n">
        <v>46246</v>
      </c>
      <c r="C1888" s="4" t="inlineStr">
        <is>
          <t>San Blas-Canillejas</t>
        </is>
      </c>
      <c r="D1888" s="4" t="n">
        <v>99</v>
      </c>
      <c r="E1888" s="4" t="inlineStr">
        <is>
          <t>a reformar</t>
        </is>
      </c>
      <c r="F1888" s="22" t="n">
        <v>255000</v>
      </c>
      <c r="G1888" s="23" t="n">
        <v>2575.76</v>
      </c>
      <c r="H1888" s="22" t="n">
        <v>306478</v>
      </c>
      <c r="I1888" s="23" t="n">
        <v>3095.74</v>
      </c>
      <c r="J1888" s="18" t="n">
        <v>-0.168</v>
      </c>
      <c r="K1888" s="24" t="n">
        <v>92</v>
      </c>
      <c r="L1888" s="4" t="n">
        <v>26</v>
      </c>
      <c r="M1888" s="4" t="inlineStr">
        <is>
          <t>alta</t>
        </is>
      </c>
      <c r="N1888" s="4" t="inlineStr">
        <is>
          <t>por debajo de comparables</t>
        </is>
      </c>
      <c r="O1888" s="4" t="n"/>
    </row>
    <row r="1889">
      <c r="A1889" s="4" t="inlineStr">
        <is>
          <t>MD-1180</t>
        </is>
      </c>
      <c r="B1889" s="21" t="n">
        <v>46246</v>
      </c>
      <c r="C1889" s="4" t="inlineStr">
        <is>
          <t>Chamartin</t>
        </is>
      </c>
      <c r="D1889" s="4" t="n">
        <v>61</v>
      </c>
      <c r="E1889" s="4" t="inlineStr">
        <is>
          <t>buen estado</t>
        </is>
      </c>
      <c r="F1889" s="22" t="n">
        <v>488000</v>
      </c>
      <c r="G1889" s="23" t="n">
        <v>8000</v>
      </c>
      <c r="H1889" s="22" t="n">
        <v>496444</v>
      </c>
      <c r="I1889" s="23" t="n">
        <v>8138.43</v>
      </c>
      <c r="J1889" s="18" t="n">
        <v>-0.017</v>
      </c>
      <c r="K1889" s="24" t="n">
        <v>54.3</v>
      </c>
      <c r="L1889" s="4" t="n">
        <v>12</v>
      </c>
      <c r="M1889" s="4" t="inlineStr">
        <is>
          <t>media</t>
        </is>
      </c>
      <c r="N1889" s="4" t="inlineStr">
        <is>
          <t>en linea con comparables</t>
        </is>
      </c>
      <c r="O1889" s="4" t="n"/>
    </row>
    <row r="1890">
      <c r="A1890" s="4" t="inlineStr">
        <is>
          <t>MD-1351</t>
        </is>
      </c>
      <c r="B1890" s="21" t="n">
        <v>46246</v>
      </c>
      <c r="C1890" s="4" t="inlineStr">
        <is>
          <t>Salamanca</t>
        </is>
      </c>
      <c r="D1890" s="4" t="n">
        <v>176</v>
      </c>
      <c r="E1890" s="4" t="inlineStr">
        <is>
          <t>reformado</t>
        </is>
      </c>
      <c r="F1890" s="22" t="n">
        <v>629000</v>
      </c>
      <c r="G1890" s="23" t="n">
        <v>3573.86</v>
      </c>
      <c r="H1890" s="22" t="n">
        <v>1707857</v>
      </c>
      <c r="I1890" s="23" t="n">
        <v>9703.73</v>
      </c>
      <c r="J1890" s="18" t="n">
        <v>-0.6317</v>
      </c>
      <c r="K1890" s="24" t="n">
        <v>100</v>
      </c>
      <c r="L1890" s="4" t="n">
        <v>14</v>
      </c>
      <c r="M1890" s="4" t="inlineStr">
        <is>
          <t>media</t>
        </is>
      </c>
      <c r="N1890" s="4" t="inlineStr">
        <is>
          <t>por debajo de comparables</t>
        </is>
      </c>
      <c r="O1890" s="4" t="n"/>
    </row>
    <row r="1891">
      <c r="A1891" s="4" t="inlineStr">
        <is>
          <t>MD-0738</t>
        </is>
      </c>
      <c r="B1891" s="21" t="n">
        <v>46246</v>
      </c>
      <c r="C1891" s="4" t="inlineStr">
        <is>
          <t>Usera</t>
        </is>
      </c>
      <c r="D1891" s="4" t="n">
        <v>93</v>
      </c>
      <c r="E1891" s="4" t="inlineStr">
        <is>
          <t>reformado</t>
        </is>
      </c>
      <c r="F1891" s="22" t="n">
        <v>405000</v>
      </c>
      <c r="G1891" s="23" t="n">
        <v>4354.84</v>
      </c>
      <c r="H1891" s="22" t="n">
        <v>290161</v>
      </c>
      <c r="I1891" s="23" t="n">
        <v>3120.01</v>
      </c>
      <c r="J1891" s="18" t="n">
        <v>0.3958</v>
      </c>
      <c r="K1891" s="24" t="n">
        <v>0</v>
      </c>
      <c r="L1891" s="4" t="n">
        <v>9</v>
      </c>
      <c r="M1891" s="4" t="inlineStr">
        <is>
          <t>media</t>
        </is>
      </c>
      <c r="N1891" s="4" t="inlineStr">
        <is>
          <t>por encima de comparables</t>
        </is>
      </c>
      <c r="O1891" s="4" t="n"/>
    </row>
    <row r="1892">
      <c r="A1892" s="4" t="inlineStr">
        <is>
          <t>MD-0985</t>
        </is>
      </c>
      <c r="B1892" s="21" t="n">
        <v>46246</v>
      </c>
      <c r="C1892" s="4" t="inlineStr">
        <is>
          <t>Moratalaz</t>
        </is>
      </c>
      <c r="D1892" s="4" t="n">
        <v>167</v>
      </c>
      <c r="E1892" s="4" t="inlineStr">
        <is>
          <t>buen estado</t>
        </is>
      </c>
      <c r="F1892" s="22" t="n">
        <v>615000</v>
      </c>
      <c r="G1892" s="23" t="n">
        <v>3682.63</v>
      </c>
      <c r="H1892" s="22" t="n"/>
      <c r="I1892" s="23" t="n"/>
      <c r="J1892" s="18" t="n"/>
      <c r="K1892" s="24" t="n"/>
      <c r="L1892" s="4" t="n">
        <v>2</v>
      </c>
      <c r="M1892" s="4" t="inlineStr">
        <is>
          <t>sin muestra</t>
        </is>
      </c>
      <c r="N1892" s="4" t="inlineStr">
        <is>
          <t>no valorable</t>
        </is>
      </c>
      <c r="O1892" s="4" t="inlineStr">
        <is>
          <t>segmento con pocas operaciones comparables</t>
        </is>
      </c>
    </row>
    <row r="1893">
      <c r="A1893" s="4" t="inlineStr">
        <is>
          <t>MD-1082</t>
        </is>
      </c>
      <c r="B1893" s="21" t="n">
        <v>46246</v>
      </c>
      <c r="C1893" s="4" t="inlineStr">
        <is>
          <t>Tetuan</t>
        </is>
      </c>
      <c r="D1893" s="4" t="n">
        <v>63</v>
      </c>
      <c r="E1893" s="4" t="inlineStr">
        <is>
          <t>reformado</t>
        </is>
      </c>
      <c r="F1893" s="22" t="n">
        <v>298000</v>
      </c>
      <c r="G1893" s="23" t="n">
        <v>4730.16</v>
      </c>
      <c r="H1893" s="22" t="n">
        <v>341756</v>
      </c>
      <c r="I1893" s="23" t="n">
        <v>5424.69</v>
      </c>
      <c r="J1893" s="18" t="n">
        <v>-0.128</v>
      </c>
      <c r="K1893" s="24" t="n">
        <v>82</v>
      </c>
      <c r="L1893" s="4" t="n">
        <v>26</v>
      </c>
      <c r="M1893" s="4" t="inlineStr">
        <is>
          <t>alta</t>
        </is>
      </c>
      <c r="N1893" s="4" t="inlineStr">
        <is>
          <t>por debajo de comparables</t>
        </is>
      </c>
      <c r="O1893" s="4" t="n"/>
    </row>
    <row r="1894">
      <c r="A1894" s="4" t="inlineStr">
        <is>
          <t>MD-0963</t>
        </is>
      </c>
      <c r="B1894" s="21" t="n">
        <v>46247</v>
      </c>
      <c r="C1894" s="4" t="inlineStr">
        <is>
          <t>Fuencarral-El Pardo</t>
        </is>
      </c>
      <c r="D1894" s="4" t="n">
        <v>80</v>
      </c>
      <c r="E1894" s="4" t="inlineStr">
        <is>
          <t>a reformar</t>
        </is>
      </c>
      <c r="F1894" s="22" t="n">
        <v>428000</v>
      </c>
      <c r="G1894" s="23" t="n">
        <v>5350</v>
      </c>
      <c r="H1894" s="22" t="n">
        <v>385926</v>
      </c>
      <c r="I1894" s="23" t="n">
        <v>4824.08</v>
      </c>
      <c r="J1894" s="18" t="n">
        <v>0.109</v>
      </c>
      <c r="K1894" s="24" t="n">
        <v>22.7</v>
      </c>
      <c r="L1894" s="4" t="n">
        <v>22</v>
      </c>
      <c r="M1894" s="4" t="inlineStr">
        <is>
          <t>alta</t>
        </is>
      </c>
      <c r="N1894" s="4" t="inlineStr">
        <is>
          <t>por encima de comparables</t>
        </is>
      </c>
      <c r="O1894" s="4" t="n"/>
    </row>
    <row r="1895">
      <c r="A1895" s="4" t="inlineStr">
        <is>
          <t>MD-1947</t>
        </is>
      </c>
      <c r="B1895" s="21" t="n">
        <v>46247</v>
      </c>
      <c r="C1895" s="4" t="inlineStr">
        <is>
          <t>Puente de Vallecas</t>
        </is>
      </c>
      <c r="D1895" s="4" t="n">
        <v>57</v>
      </c>
      <c r="E1895" s="4" t="inlineStr">
        <is>
          <t>buen estado</t>
        </is>
      </c>
      <c r="F1895" s="22" t="n">
        <v>150000</v>
      </c>
      <c r="G1895" s="23" t="n">
        <v>2631.58</v>
      </c>
      <c r="H1895" s="22" t="n">
        <v>150450</v>
      </c>
      <c r="I1895" s="23" t="n">
        <v>2639.48</v>
      </c>
      <c r="J1895" s="18" t="n">
        <v>-0.003</v>
      </c>
      <c r="K1895" s="24" t="n">
        <v>50.7</v>
      </c>
      <c r="L1895" s="4" t="n">
        <v>28</v>
      </c>
      <c r="M1895" s="4" t="inlineStr">
        <is>
          <t>media</t>
        </is>
      </c>
      <c r="N1895" s="4" t="inlineStr">
        <is>
          <t>en linea con comparables</t>
        </is>
      </c>
      <c r="O1895" s="4" t="n"/>
    </row>
    <row r="1896">
      <c r="A1896" s="4" t="inlineStr">
        <is>
          <t>MD-0725</t>
        </is>
      </c>
      <c r="B1896" s="21" t="n">
        <v>46247</v>
      </c>
      <c r="C1896" s="4" t="inlineStr">
        <is>
          <t>Tetuan</t>
        </is>
      </c>
      <c r="D1896" s="4" t="n">
        <v>36</v>
      </c>
      <c r="E1896" s="4" t="inlineStr">
        <is>
          <t>buen estado</t>
        </is>
      </c>
      <c r="F1896" s="22" t="n">
        <v>266000</v>
      </c>
      <c r="G1896" s="23" t="n">
        <v>7388.89</v>
      </c>
      <c r="H1896" s="22" t="n">
        <v>162305</v>
      </c>
      <c r="I1896" s="23" t="n">
        <v>4508.47</v>
      </c>
      <c r="J1896" s="18" t="n">
        <v>0.6389</v>
      </c>
      <c r="K1896" s="24" t="n">
        <v>0</v>
      </c>
      <c r="L1896" s="4" t="n">
        <v>17</v>
      </c>
      <c r="M1896" s="4" t="inlineStr">
        <is>
          <t>media</t>
        </is>
      </c>
      <c r="N1896" s="4" t="inlineStr">
        <is>
          <t>por encima de comparables</t>
        </is>
      </c>
      <c r="O1896" s="4" t="n"/>
    </row>
    <row r="1897">
      <c r="A1897" s="4" t="inlineStr">
        <is>
          <t>MD-1314</t>
        </is>
      </c>
      <c r="B1897" s="21" t="n">
        <v>46247</v>
      </c>
      <c r="C1897" s="4" t="inlineStr">
        <is>
          <t>Hortaleza</t>
        </is>
      </c>
      <c r="D1897" s="4" t="n">
        <v>95</v>
      </c>
      <c r="E1897" s="4" t="inlineStr">
        <is>
          <t>a reformar</t>
        </is>
      </c>
      <c r="F1897" s="22" t="n">
        <v>383000</v>
      </c>
      <c r="G1897" s="23" t="n">
        <v>4031.58</v>
      </c>
      <c r="H1897" s="22" t="n">
        <v>431075</v>
      </c>
      <c r="I1897" s="23" t="n">
        <v>4537.63</v>
      </c>
      <c r="J1897" s="18" t="n">
        <v>-0.1115</v>
      </c>
      <c r="K1897" s="24" t="n">
        <v>77.90000000000001</v>
      </c>
      <c r="L1897" s="4" t="n">
        <v>33</v>
      </c>
      <c r="M1897" s="4" t="inlineStr">
        <is>
          <t>alta</t>
        </is>
      </c>
      <c r="N1897" s="4" t="inlineStr">
        <is>
          <t>por debajo de comparables</t>
        </is>
      </c>
      <c r="O1897" s="4" t="n"/>
    </row>
    <row r="1898">
      <c r="A1898" s="4" t="inlineStr">
        <is>
          <t>MD-1192</t>
        </is>
      </c>
      <c r="B1898" s="21" t="n">
        <v>46247</v>
      </c>
      <c r="C1898" s="4" t="inlineStr">
        <is>
          <t>Hortaleza</t>
        </is>
      </c>
      <c r="D1898" s="4" t="n">
        <v>63</v>
      </c>
      <c r="E1898" s="4" t="inlineStr">
        <is>
          <t>reformado</t>
        </is>
      </c>
      <c r="F1898" s="22" t="n">
        <v>334000</v>
      </c>
      <c r="G1898" s="23" t="n">
        <v>5301.59</v>
      </c>
      <c r="H1898" s="22" t="n">
        <v>349011</v>
      </c>
      <c r="I1898" s="23" t="n">
        <v>5539.86</v>
      </c>
      <c r="J1898" s="18" t="n">
        <v>-0.043</v>
      </c>
      <c r="K1898" s="24" t="n">
        <v>60.8</v>
      </c>
      <c r="L1898" s="4" t="n">
        <v>19</v>
      </c>
      <c r="M1898" s="4" t="inlineStr">
        <is>
          <t>alta</t>
        </is>
      </c>
      <c r="N1898" s="4" t="inlineStr">
        <is>
          <t>en linea con comparables</t>
        </is>
      </c>
      <c r="O1898" s="4" t="n"/>
    </row>
    <row r="1899">
      <c r="A1899" s="4" t="inlineStr">
        <is>
          <t>MD-0223</t>
        </is>
      </c>
      <c r="B1899" s="21" t="n">
        <v>46247</v>
      </c>
      <c r="C1899" s="4" t="inlineStr">
        <is>
          <t>Chamartin</t>
        </is>
      </c>
      <c r="D1899" s="4" t="n">
        <v>188</v>
      </c>
      <c r="E1899" s="4" t="inlineStr">
        <is>
          <t>reformado</t>
        </is>
      </c>
      <c r="F1899" s="22" t="n">
        <v>1746000</v>
      </c>
      <c r="G1899" s="23" t="n">
        <v>9287.23</v>
      </c>
      <c r="H1899" s="22" t="n">
        <v>1649615</v>
      </c>
      <c r="I1899" s="23" t="n">
        <v>8774.549999999999</v>
      </c>
      <c r="J1899" s="18" t="n">
        <v>0.0584</v>
      </c>
      <c r="K1899" s="24" t="n">
        <v>35.4</v>
      </c>
      <c r="L1899" s="4" t="n">
        <v>10</v>
      </c>
      <c r="M1899" s="4" t="inlineStr">
        <is>
          <t>media</t>
        </is>
      </c>
      <c r="N1899" s="4" t="inlineStr">
        <is>
          <t>en linea con comparables</t>
        </is>
      </c>
      <c r="O1899" s="4" t="n"/>
    </row>
    <row r="1900">
      <c r="A1900" s="4" t="inlineStr">
        <is>
          <t>MD-1951</t>
        </is>
      </c>
      <c r="B1900" s="21" t="n">
        <v>46247</v>
      </c>
      <c r="C1900" s="4" t="inlineStr">
        <is>
          <t>Vicalvaro</t>
        </is>
      </c>
      <c r="D1900" s="4" t="n">
        <v>118</v>
      </c>
      <c r="E1900" s="4" t="inlineStr">
        <is>
          <t>buen estado</t>
        </is>
      </c>
      <c r="F1900" s="22" t="n">
        <v>459000</v>
      </c>
      <c r="G1900" s="23" t="n">
        <v>3889.83</v>
      </c>
      <c r="H1900" s="22" t="n">
        <v>431016</v>
      </c>
      <c r="I1900" s="23" t="n">
        <v>3652.68</v>
      </c>
      <c r="J1900" s="18" t="n">
        <v>0.0649</v>
      </c>
      <c r="K1900" s="24" t="n">
        <v>33.8</v>
      </c>
      <c r="L1900" s="4" t="n">
        <v>20</v>
      </c>
      <c r="M1900" s="4" t="inlineStr">
        <is>
          <t>alta</t>
        </is>
      </c>
      <c r="N1900" s="4" t="inlineStr">
        <is>
          <t>en linea con comparables</t>
        </is>
      </c>
      <c r="O1900" s="4" t="n"/>
    </row>
    <row r="1901">
      <c r="A1901" s="4" t="inlineStr">
        <is>
          <t>MD-0233</t>
        </is>
      </c>
      <c r="B1901" s="21" t="n">
        <v>46247</v>
      </c>
      <c r="C1901" s="4" t="inlineStr">
        <is>
          <t>Tetuan</t>
        </is>
      </c>
      <c r="D1901" s="4" t="n">
        <v>30</v>
      </c>
      <c r="E1901" s="4" t="inlineStr">
        <is>
          <t>buen estado</t>
        </is>
      </c>
      <c r="F1901" s="22" t="n">
        <v>150000</v>
      </c>
      <c r="G1901" s="23" t="n">
        <v>5000</v>
      </c>
      <c r="H1901" s="22" t="n">
        <v>169714</v>
      </c>
      <c r="I1901" s="23" t="n">
        <v>5657.15</v>
      </c>
      <c r="J1901" s="18" t="n">
        <v>-0.1162</v>
      </c>
      <c r="K1901" s="24" t="n">
        <v>79</v>
      </c>
      <c r="L1901" s="4" t="n">
        <v>7</v>
      </c>
      <c r="M1901" s="4" t="inlineStr">
        <is>
          <t>baja</t>
        </is>
      </c>
      <c r="N1901" s="4" t="inlineStr">
        <is>
          <t>por debajo de comparables</t>
        </is>
      </c>
      <c r="O1901" s="4" t="n"/>
    </row>
    <row r="1902">
      <c r="A1902" s="4" t="inlineStr">
        <is>
          <t>MD-0242</t>
        </is>
      </c>
      <c r="B1902" s="21" t="n">
        <v>46247</v>
      </c>
      <c r="C1902" s="4" t="inlineStr">
        <is>
          <t>Fuencarral-El Pardo</t>
        </is>
      </c>
      <c r="D1902" s="4" t="n">
        <v>174</v>
      </c>
      <c r="E1902" s="4" t="inlineStr">
        <is>
          <t>a reformar</t>
        </is>
      </c>
      <c r="F1902" s="22" t="n">
        <v>543000</v>
      </c>
      <c r="G1902" s="23" t="n">
        <v>3120.69</v>
      </c>
      <c r="H1902" s="22" t="n">
        <v>720516</v>
      </c>
      <c r="I1902" s="23" t="n">
        <v>4140.9</v>
      </c>
      <c r="J1902" s="18" t="n">
        <v>-0.2464</v>
      </c>
      <c r="K1902" s="24" t="n">
        <v>100</v>
      </c>
      <c r="L1902" s="4" t="n">
        <v>18</v>
      </c>
      <c r="M1902" s="4" t="inlineStr">
        <is>
          <t>alta</t>
        </is>
      </c>
      <c r="N1902" s="4" t="inlineStr">
        <is>
          <t>por debajo de comparables</t>
        </is>
      </c>
      <c r="O1902" s="4" t="n"/>
    </row>
    <row r="1903">
      <c r="A1903" s="4" t="inlineStr">
        <is>
          <t>MD-0766</t>
        </is>
      </c>
      <c r="B1903" s="21" t="n">
        <v>46247</v>
      </c>
      <c r="C1903" s="4" t="inlineStr">
        <is>
          <t>Centro</t>
        </is>
      </c>
      <c r="D1903" s="4" t="n">
        <v>37</v>
      </c>
      <c r="E1903" s="4" t="inlineStr">
        <is>
          <t>reformado</t>
        </is>
      </c>
      <c r="F1903" s="22" t="n">
        <v>314000</v>
      </c>
      <c r="G1903" s="23" t="n">
        <v>8486.49</v>
      </c>
      <c r="H1903" s="22" t="n">
        <v>303024</v>
      </c>
      <c r="I1903" s="23" t="n">
        <v>8189.83</v>
      </c>
      <c r="J1903" s="18" t="n">
        <v>0.0362</v>
      </c>
      <c r="K1903" s="24" t="n">
        <v>40.9</v>
      </c>
      <c r="L1903" s="4" t="n">
        <v>25</v>
      </c>
      <c r="M1903" s="4" t="inlineStr">
        <is>
          <t>alta</t>
        </is>
      </c>
      <c r="N1903" s="4" t="inlineStr">
        <is>
          <t>en linea con comparables</t>
        </is>
      </c>
      <c r="O1903" s="4" t="n"/>
    </row>
    <row r="1904">
      <c r="A1904" s="4" t="inlineStr">
        <is>
          <t>MD-0169</t>
        </is>
      </c>
      <c r="B1904" s="21" t="n">
        <v>46248</v>
      </c>
      <c r="C1904" s="4" t="inlineStr">
        <is>
          <t>Latina</t>
        </is>
      </c>
      <c r="D1904" s="4" t="n">
        <v>179</v>
      </c>
      <c r="E1904" s="4" t="inlineStr">
        <is>
          <t>reformado</t>
        </is>
      </c>
      <c r="F1904" s="22" t="n">
        <v>501000</v>
      </c>
      <c r="G1904" s="23" t="n">
        <v>2798.88</v>
      </c>
      <c r="H1904" s="22" t="n"/>
      <c r="I1904" s="23" t="n"/>
      <c r="J1904" s="18" t="n"/>
      <c r="K1904" s="24" t="n"/>
      <c r="L1904" s="4" t="n">
        <v>2</v>
      </c>
      <c r="M1904" s="4" t="inlineStr">
        <is>
          <t>sin muestra</t>
        </is>
      </c>
      <c r="N1904" s="4" t="inlineStr">
        <is>
          <t>no valorable</t>
        </is>
      </c>
      <c r="O1904" s="4" t="inlineStr">
        <is>
          <t>segmento con pocas operaciones comparables</t>
        </is>
      </c>
    </row>
    <row r="1905">
      <c r="A1905" s="4" t="inlineStr">
        <is>
          <t>MD-0856</t>
        </is>
      </c>
      <c r="B1905" s="21" t="n">
        <v>46248</v>
      </c>
      <c r="C1905" s="4" t="inlineStr">
        <is>
          <t>Villa de Vallecas</t>
        </is>
      </c>
      <c r="D1905" s="4" t="n">
        <v>100</v>
      </c>
      <c r="E1905" s="4" t="inlineStr">
        <is>
          <t>buen estado</t>
        </is>
      </c>
      <c r="F1905" s="22" t="n">
        <v>396000</v>
      </c>
      <c r="G1905" s="23" t="n">
        <v>3960</v>
      </c>
      <c r="H1905" s="22" t="n">
        <v>336769</v>
      </c>
      <c r="I1905" s="23" t="n">
        <v>3367.69</v>
      </c>
      <c r="J1905" s="18" t="n">
        <v>0.1759</v>
      </c>
      <c r="K1905" s="24" t="n">
        <v>6</v>
      </c>
      <c r="L1905" s="4" t="n">
        <v>17</v>
      </c>
      <c r="M1905" s="4" t="inlineStr">
        <is>
          <t>alta</t>
        </is>
      </c>
      <c r="N1905" s="4" t="inlineStr">
        <is>
          <t>por encima de comparables</t>
        </is>
      </c>
      <c r="O1905" s="4" t="n"/>
    </row>
    <row r="1906">
      <c r="A1906" s="4" t="inlineStr">
        <is>
          <t>MD-0019</t>
        </is>
      </c>
      <c r="B1906" s="21" t="n">
        <v>46248</v>
      </c>
      <c r="C1906" s="4" t="inlineStr">
        <is>
          <t>Latina</t>
        </is>
      </c>
      <c r="D1906" s="4" t="n">
        <v>65</v>
      </c>
      <c r="E1906" s="4" t="inlineStr">
        <is>
          <t>buen estado</t>
        </is>
      </c>
      <c r="F1906" s="22" t="n">
        <v>217000</v>
      </c>
      <c r="G1906" s="23" t="n">
        <v>3338.46</v>
      </c>
      <c r="H1906" s="22" t="n">
        <v>198508</v>
      </c>
      <c r="I1906" s="23" t="n">
        <v>3053.97</v>
      </c>
      <c r="J1906" s="18" t="n">
        <v>0.09320000000000001</v>
      </c>
      <c r="K1906" s="24" t="n">
        <v>26.7</v>
      </c>
      <c r="L1906" s="4" t="n">
        <v>45</v>
      </c>
      <c r="M1906" s="4" t="inlineStr">
        <is>
          <t>media</t>
        </is>
      </c>
      <c r="N1906" s="4" t="inlineStr">
        <is>
          <t>en linea con comparables</t>
        </is>
      </c>
      <c r="O1906" s="4" t="n"/>
    </row>
    <row r="1907">
      <c r="A1907" s="4" t="inlineStr">
        <is>
          <t>MD-1693</t>
        </is>
      </c>
      <c r="B1907" s="21" t="n">
        <v>46248</v>
      </c>
      <c r="C1907" s="4" t="inlineStr">
        <is>
          <t>Chamberi</t>
        </is>
      </c>
      <c r="D1907" s="4" t="n">
        <v>51</v>
      </c>
      <c r="E1907" s="4" t="inlineStr">
        <is>
          <t>buen estado</t>
        </is>
      </c>
      <c r="F1907" s="22" t="n">
        <v>379000</v>
      </c>
      <c r="G1907" s="23" t="n">
        <v>7431.37</v>
      </c>
      <c r="H1907" s="22" t="n">
        <v>448867</v>
      </c>
      <c r="I1907" s="23" t="n">
        <v>8801.32</v>
      </c>
      <c r="J1907" s="18" t="n">
        <v>-0.1557</v>
      </c>
      <c r="K1907" s="24" t="n">
        <v>88.90000000000001</v>
      </c>
      <c r="L1907" s="4" t="n">
        <v>10</v>
      </c>
      <c r="M1907" s="4" t="inlineStr">
        <is>
          <t>media</t>
        </is>
      </c>
      <c r="N1907" s="4" t="inlineStr">
        <is>
          <t>por debajo de comparables</t>
        </is>
      </c>
      <c r="O1907" s="4" t="n"/>
    </row>
    <row r="1908">
      <c r="A1908" s="4" t="inlineStr">
        <is>
          <t>MD-0896</t>
        </is>
      </c>
      <c r="B1908" s="21" t="n">
        <v>46248</v>
      </c>
      <c r="C1908" s="4" t="inlineStr">
        <is>
          <t>Centro</t>
        </is>
      </c>
      <c r="D1908" s="4" t="n">
        <v>69</v>
      </c>
      <c r="E1908" s="4" t="inlineStr">
        <is>
          <t>buen estado</t>
        </is>
      </c>
      <c r="F1908" s="22" t="n">
        <v>347000</v>
      </c>
      <c r="G1908" s="23" t="n">
        <v>5028.99</v>
      </c>
      <c r="H1908" s="22" t="n">
        <v>488175</v>
      </c>
      <c r="I1908" s="23" t="n">
        <v>7074.99</v>
      </c>
      <c r="J1908" s="18" t="n">
        <v>-0.2892</v>
      </c>
      <c r="K1908" s="24" t="n">
        <v>100</v>
      </c>
      <c r="L1908" s="4" t="n">
        <v>27</v>
      </c>
      <c r="M1908" s="4" t="inlineStr">
        <is>
          <t>media</t>
        </is>
      </c>
      <c r="N1908" s="4" t="inlineStr">
        <is>
          <t>por debajo de comparables</t>
        </is>
      </c>
      <c r="O1908" s="4" t="n"/>
    </row>
    <row r="1909">
      <c r="A1909" s="4" t="inlineStr">
        <is>
          <t>MD-0002</t>
        </is>
      </c>
      <c r="B1909" s="21" t="n">
        <v>46248</v>
      </c>
      <c r="C1909" s="4" t="inlineStr">
        <is>
          <t>Villa de Vallecas</t>
        </is>
      </c>
      <c r="D1909" s="4" t="n">
        <v>187</v>
      </c>
      <c r="E1909" s="4" t="inlineStr">
        <is>
          <t>buen estado</t>
        </is>
      </c>
      <c r="F1909" s="22" t="n">
        <v>667000</v>
      </c>
      <c r="G1909" s="23" t="n">
        <v>3566.84</v>
      </c>
      <c r="H1909" s="22" t="n"/>
      <c r="I1909" s="23" t="n"/>
      <c r="J1909" s="18" t="n"/>
      <c r="K1909" s="24" t="n"/>
      <c r="L1909" s="4" t="n">
        <v>3</v>
      </c>
      <c r="M1909" s="4" t="inlineStr">
        <is>
          <t>sin muestra</t>
        </is>
      </c>
      <c r="N1909" s="4" t="inlineStr">
        <is>
          <t>no valorable</t>
        </is>
      </c>
      <c r="O1909" s="4" t="inlineStr">
        <is>
          <t>segmento con pocas operaciones comparables</t>
        </is>
      </c>
    </row>
    <row r="1910">
      <c r="A1910" s="4" t="inlineStr">
        <is>
          <t>MD-0436</t>
        </is>
      </c>
      <c r="B1910" s="21" t="n">
        <v>46249</v>
      </c>
      <c r="C1910" s="4" t="inlineStr">
        <is>
          <t>Hortaleza</t>
        </is>
      </c>
      <c r="D1910" s="4" t="n">
        <v>159</v>
      </c>
      <c r="E1910" s="4" t="inlineStr">
        <is>
          <t>buen estado</t>
        </is>
      </c>
      <c r="F1910" s="22" t="n">
        <v>783000</v>
      </c>
      <c r="G1910" s="23" t="n">
        <v>4924.53</v>
      </c>
      <c r="H1910" s="22" t="n">
        <v>830761</v>
      </c>
      <c r="I1910" s="23" t="n">
        <v>5224.91</v>
      </c>
      <c r="J1910" s="18" t="n">
        <v>-0.0575</v>
      </c>
      <c r="K1910" s="24" t="n">
        <v>64.40000000000001</v>
      </c>
      <c r="L1910" s="4" t="n">
        <v>38</v>
      </c>
      <c r="M1910" s="4" t="inlineStr">
        <is>
          <t>alta</t>
        </is>
      </c>
      <c r="N1910" s="4" t="inlineStr">
        <is>
          <t>en linea con comparables</t>
        </is>
      </c>
      <c r="O1910" s="4" t="n"/>
    </row>
    <row r="1911">
      <c r="A1911" s="4" t="inlineStr">
        <is>
          <t>MD-1559</t>
        </is>
      </c>
      <c r="B1911" s="21" t="n">
        <v>46249</v>
      </c>
      <c r="C1911" s="4" t="inlineStr">
        <is>
          <t>Latina</t>
        </is>
      </c>
      <c r="D1911" s="4" t="n">
        <v>76</v>
      </c>
      <c r="E1911" s="4" t="inlineStr">
        <is>
          <t>a reformar</t>
        </is>
      </c>
      <c r="F1911" s="22" t="n">
        <v>256000</v>
      </c>
      <c r="G1911" s="23" t="n">
        <v>3368.42</v>
      </c>
      <c r="H1911" s="22" t="n">
        <v>219834</v>
      </c>
      <c r="I1911" s="23" t="n">
        <v>2892.56</v>
      </c>
      <c r="J1911" s="18" t="n">
        <v>0.1645</v>
      </c>
      <c r="K1911" s="24" t="n">
        <v>8.9</v>
      </c>
      <c r="L1911" s="4" t="n">
        <v>34</v>
      </c>
      <c r="M1911" s="4" t="inlineStr">
        <is>
          <t>media</t>
        </is>
      </c>
      <c r="N1911" s="4" t="inlineStr">
        <is>
          <t>por encima de comparables</t>
        </is>
      </c>
      <c r="O1911" s="4" t="n"/>
    </row>
    <row r="1912">
      <c r="A1912" s="4" t="inlineStr">
        <is>
          <t>MD-0957</t>
        </is>
      </c>
      <c r="B1912" s="21" t="n">
        <v>46249</v>
      </c>
      <c r="C1912" s="4" t="inlineStr">
        <is>
          <t>Latina</t>
        </is>
      </c>
      <c r="D1912" s="4" t="n">
        <v>46</v>
      </c>
      <c r="E1912" s="4" t="inlineStr">
        <is>
          <t>buen estado</t>
        </is>
      </c>
      <c r="F1912" s="22" t="n">
        <v>169000</v>
      </c>
      <c r="G1912" s="23" t="n">
        <v>3673.91</v>
      </c>
      <c r="H1912" s="22" t="n">
        <v>160665</v>
      </c>
      <c r="I1912" s="23" t="n">
        <v>3492.73</v>
      </c>
      <c r="J1912" s="18" t="n">
        <v>0.0519</v>
      </c>
      <c r="K1912" s="24" t="n">
        <v>37</v>
      </c>
      <c r="L1912" s="4" t="n">
        <v>27</v>
      </c>
      <c r="M1912" s="4" t="inlineStr">
        <is>
          <t>alta</t>
        </is>
      </c>
      <c r="N1912" s="4" t="inlineStr">
        <is>
          <t>en linea con comparables</t>
        </is>
      </c>
      <c r="O1912" s="4" t="n"/>
    </row>
    <row r="1913">
      <c r="A1913" s="4" t="inlineStr">
        <is>
          <t>MD-0205</t>
        </is>
      </c>
      <c r="B1913" s="21" t="n">
        <v>46249</v>
      </c>
      <c r="C1913" s="4" t="inlineStr">
        <is>
          <t>Latina</t>
        </is>
      </c>
      <c r="D1913" s="4" t="n">
        <v>68</v>
      </c>
      <c r="E1913" s="4" t="inlineStr">
        <is>
          <t>reformado</t>
        </is>
      </c>
      <c r="F1913" s="22" t="n">
        <v>259000</v>
      </c>
      <c r="G1913" s="23" t="n">
        <v>3808.82</v>
      </c>
      <c r="H1913" s="22" t="n">
        <v>229400</v>
      </c>
      <c r="I1913" s="23" t="n">
        <v>3373.54</v>
      </c>
      <c r="J1913" s="18" t="n">
        <v>0.129</v>
      </c>
      <c r="K1913" s="24" t="n">
        <v>17.7</v>
      </c>
      <c r="L1913" s="4" t="n">
        <v>42</v>
      </c>
      <c r="M1913" s="4" t="inlineStr">
        <is>
          <t>media</t>
        </is>
      </c>
      <c r="N1913" s="4" t="inlineStr">
        <is>
          <t>por encima de comparables</t>
        </is>
      </c>
      <c r="O1913" s="4" t="n"/>
    </row>
    <row r="1914">
      <c r="A1914" s="4" t="inlineStr">
        <is>
          <t>MD-1811</t>
        </is>
      </c>
      <c r="B1914" s="21" t="n">
        <v>46250</v>
      </c>
      <c r="C1914" s="4" t="inlineStr">
        <is>
          <t>Puente de Vallecas</t>
        </is>
      </c>
      <c r="D1914" s="4" t="n">
        <v>94</v>
      </c>
      <c r="E1914" s="4" t="inlineStr">
        <is>
          <t>buen estado</t>
        </is>
      </c>
      <c r="F1914" s="22" t="n">
        <v>253000</v>
      </c>
      <c r="G1914" s="23" t="n">
        <v>2691.49</v>
      </c>
      <c r="H1914" s="22" t="n">
        <v>282614</v>
      </c>
      <c r="I1914" s="23" t="n">
        <v>3006.53</v>
      </c>
      <c r="J1914" s="18" t="n">
        <v>-0.1048</v>
      </c>
      <c r="K1914" s="24" t="n">
        <v>76.2</v>
      </c>
      <c r="L1914" s="4" t="n">
        <v>28</v>
      </c>
      <c r="M1914" s="4" t="inlineStr">
        <is>
          <t>alta</t>
        </is>
      </c>
      <c r="N1914" s="4" t="inlineStr">
        <is>
          <t>por debajo de comparables</t>
        </is>
      </c>
      <c r="O1914" s="4" t="n"/>
    </row>
    <row r="1915">
      <c r="A1915" s="4" t="inlineStr">
        <is>
          <t>MD-1614</t>
        </is>
      </c>
      <c r="B1915" s="21" t="n">
        <v>46250</v>
      </c>
      <c r="C1915" s="4" t="inlineStr">
        <is>
          <t>Villaverde</t>
        </is>
      </c>
      <c r="D1915" s="4" t="n">
        <v>72</v>
      </c>
      <c r="E1915" s="4" t="inlineStr">
        <is>
          <t>buen estado</t>
        </is>
      </c>
      <c r="F1915" s="22" t="n">
        <v>146000</v>
      </c>
      <c r="G1915" s="23" t="n">
        <v>2027.78</v>
      </c>
      <c r="H1915" s="22" t="n">
        <v>165506</v>
      </c>
      <c r="I1915" s="23" t="n">
        <v>2298.7</v>
      </c>
      <c r="J1915" s="18" t="n">
        <v>-0.1179</v>
      </c>
      <c r="K1915" s="24" t="n">
        <v>79.5</v>
      </c>
      <c r="L1915" s="4" t="n">
        <v>13</v>
      </c>
      <c r="M1915" s="4" t="inlineStr">
        <is>
          <t>media</t>
        </is>
      </c>
      <c r="N1915" s="4" t="inlineStr">
        <is>
          <t>por debajo de comparables</t>
        </is>
      </c>
      <c r="O1915" s="4" t="n"/>
    </row>
    <row r="1916">
      <c r="A1916" s="4" t="inlineStr">
        <is>
          <t>MD-1016</t>
        </is>
      </c>
      <c r="B1916" s="21" t="n">
        <v>46250</v>
      </c>
      <c r="C1916" s="4" t="inlineStr">
        <is>
          <t>Tetuan</t>
        </is>
      </c>
      <c r="D1916" s="4" t="n">
        <v>138</v>
      </c>
      <c r="E1916" s="4" t="inlineStr">
        <is>
          <t>buen estado</t>
        </is>
      </c>
      <c r="F1916" s="22" t="n">
        <v>622000</v>
      </c>
      <c r="G1916" s="23" t="n">
        <v>4507.25</v>
      </c>
      <c r="H1916" s="22" t="n">
        <v>658480</v>
      </c>
      <c r="I1916" s="23" t="n">
        <v>4771.59</v>
      </c>
      <c r="J1916" s="18" t="n">
        <v>-0.0554</v>
      </c>
      <c r="K1916" s="24" t="n">
        <v>63.9</v>
      </c>
      <c r="L1916" s="4" t="n">
        <v>8</v>
      </c>
      <c r="M1916" s="4" t="inlineStr">
        <is>
          <t>media</t>
        </is>
      </c>
      <c r="N1916" s="4" t="inlineStr">
        <is>
          <t>en linea con comparables</t>
        </is>
      </c>
      <c r="O1916" s="4" t="n"/>
    </row>
    <row r="1917">
      <c r="A1917" s="4" t="inlineStr">
        <is>
          <t>MD-0578</t>
        </is>
      </c>
      <c r="B1917" s="21" t="n">
        <v>46251</v>
      </c>
      <c r="C1917" s="4" t="inlineStr">
        <is>
          <t>Ciudad Lineal</t>
        </is>
      </c>
      <c r="D1917" s="4" t="n">
        <v>79</v>
      </c>
      <c r="E1917" s="4" t="inlineStr">
        <is>
          <t>reformado</t>
        </is>
      </c>
      <c r="F1917" s="22" t="n">
        <v>342000</v>
      </c>
      <c r="G1917" s="23" t="n">
        <v>4329.11</v>
      </c>
      <c r="H1917" s="22" t="n">
        <v>384608</v>
      </c>
      <c r="I1917" s="23" t="n">
        <v>4868.46</v>
      </c>
      <c r="J1917" s="18" t="n">
        <v>-0.1108</v>
      </c>
      <c r="K1917" s="24" t="n">
        <v>77.7</v>
      </c>
      <c r="L1917" s="4" t="n">
        <v>39</v>
      </c>
      <c r="M1917" s="4" t="inlineStr">
        <is>
          <t>alta</t>
        </is>
      </c>
      <c r="N1917" s="4" t="inlineStr">
        <is>
          <t>por debajo de comparables</t>
        </is>
      </c>
      <c r="O1917" s="4" t="n"/>
    </row>
    <row r="1918">
      <c r="A1918" s="4" t="inlineStr">
        <is>
          <t>MD-0586</t>
        </is>
      </c>
      <c r="B1918" s="21" t="n">
        <v>46251</v>
      </c>
      <c r="C1918" s="4" t="inlineStr">
        <is>
          <t>San Blas-Canillejas</t>
        </is>
      </c>
      <c r="D1918" s="4" t="n">
        <v>42</v>
      </c>
      <c r="E1918" s="4" t="inlineStr">
        <is>
          <t>a reformar</t>
        </is>
      </c>
      <c r="F1918" s="22" t="n">
        <v>132000</v>
      </c>
      <c r="G1918" s="23" t="n">
        <v>3142.86</v>
      </c>
      <c r="H1918" s="22" t="n">
        <v>106762</v>
      </c>
      <c r="I1918" s="23" t="n">
        <v>2541.96</v>
      </c>
      <c r="J1918" s="18" t="n">
        <v>0.2364</v>
      </c>
      <c r="K1918" s="24" t="n">
        <v>0</v>
      </c>
      <c r="L1918" s="4" t="n">
        <v>8</v>
      </c>
      <c r="M1918" s="4" t="inlineStr">
        <is>
          <t>media</t>
        </is>
      </c>
      <c r="N1918" s="4" t="inlineStr">
        <is>
          <t>por encima de comparables</t>
        </is>
      </c>
      <c r="O1918" s="4" t="n"/>
    </row>
    <row r="1919">
      <c r="A1919" s="4" t="inlineStr">
        <is>
          <t>MD-0237</t>
        </is>
      </c>
      <c r="B1919" s="21" t="n">
        <v>46251</v>
      </c>
      <c r="C1919" s="4" t="inlineStr">
        <is>
          <t>San Blas-Canillejas</t>
        </is>
      </c>
      <c r="D1919" s="4" t="n">
        <v>54</v>
      </c>
      <c r="E1919" s="4" t="inlineStr">
        <is>
          <t>a reformar</t>
        </is>
      </c>
      <c r="F1919" s="22" t="n">
        <v>155000</v>
      </c>
      <c r="G1919" s="23" t="n">
        <v>2870.37</v>
      </c>
      <c r="H1919" s="22" t="n">
        <v>139382</v>
      </c>
      <c r="I1919" s="23" t="n">
        <v>2581.15</v>
      </c>
      <c r="J1919" s="18" t="n">
        <v>0.1121</v>
      </c>
      <c r="K1919" s="24" t="n">
        <v>22</v>
      </c>
      <c r="L1919" s="4" t="n">
        <v>21</v>
      </c>
      <c r="M1919" s="4" t="inlineStr">
        <is>
          <t>alta</t>
        </is>
      </c>
      <c r="N1919" s="4" t="inlineStr">
        <is>
          <t>por encima de comparables</t>
        </is>
      </c>
      <c r="O1919" s="4" t="n"/>
    </row>
    <row r="1920">
      <c r="A1920" s="4" t="inlineStr">
        <is>
          <t>MD-0939</t>
        </is>
      </c>
      <c r="B1920" s="21" t="n">
        <v>46251</v>
      </c>
      <c r="C1920" s="4" t="inlineStr">
        <is>
          <t>Carabanchel</t>
        </is>
      </c>
      <c r="D1920" s="4" t="n">
        <v>47</v>
      </c>
      <c r="E1920" s="4" t="inlineStr">
        <is>
          <t>a reformar</t>
        </is>
      </c>
      <c r="F1920" s="22" t="n">
        <v>154000</v>
      </c>
      <c r="G1920" s="23" t="n">
        <v>3276.6</v>
      </c>
      <c r="H1920" s="22" t="n">
        <v>136571</v>
      </c>
      <c r="I1920" s="23" t="n">
        <v>2905.77</v>
      </c>
      <c r="J1920" s="18" t="n">
        <v>0.1276</v>
      </c>
      <c r="K1920" s="24" t="n">
        <v>18.1</v>
      </c>
      <c r="L1920" s="4" t="n">
        <v>36</v>
      </c>
      <c r="M1920" s="4" t="inlineStr">
        <is>
          <t>alta</t>
        </is>
      </c>
      <c r="N1920" s="4" t="inlineStr">
        <is>
          <t>por encima de comparables</t>
        </is>
      </c>
      <c r="O1920" s="4" t="n"/>
    </row>
    <row r="1921">
      <c r="A1921" s="4" t="inlineStr">
        <is>
          <t>MD-0726</t>
        </is>
      </c>
      <c r="B1921" s="21" t="n">
        <v>46251</v>
      </c>
      <c r="C1921" s="4" t="inlineStr">
        <is>
          <t>Chamartin</t>
        </is>
      </c>
      <c r="D1921" s="4" t="n">
        <v>50</v>
      </c>
      <c r="E1921" s="4" t="inlineStr">
        <is>
          <t>reformado</t>
        </is>
      </c>
      <c r="F1921" s="22" t="n">
        <v>437000</v>
      </c>
      <c r="G1921" s="23" t="n">
        <v>8740</v>
      </c>
      <c r="H1921" s="22" t="n">
        <v>428894</v>
      </c>
      <c r="I1921" s="23" t="n">
        <v>8577.879999999999</v>
      </c>
      <c r="J1921" s="18" t="n">
        <v>0.0189</v>
      </c>
      <c r="K1921" s="24" t="n">
        <v>45.3</v>
      </c>
      <c r="L1921" s="4" t="n">
        <v>8</v>
      </c>
      <c r="M1921" s="4" t="inlineStr">
        <is>
          <t>media</t>
        </is>
      </c>
      <c r="N1921" s="4" t="inlineStr">
        <is>
          <t>en linea con comparables</t>
        </is>
      </c>
      <c r="O1921" s="4" t="n"/>
    </row>
    <row r="1922">
      <c r="A1922" s="4" t="inlineStr">
        <is>
          <t>MD-1212</t>
        </is>
      </c>
      <c r="B1922" s="21" t="n">
        <v>46251</v>
      </c>
      <c r="C1922" s="4" t="inlineStr">
        <is>
          <t>Barajas</t>
        </is>
      </c>
      <c r="D1922" s="4" t="n">
        <v>190</v>
      </c>
      <c r="E1922" s="4" t="inlineStr">
        <is>
          <t>a reformar</t>
        </is>
      </c>
      <c r="F1922" s="22" t="n">
        <v>723000</v>
      </c>
      <c r="G1922" s="23" t="n">
        <v>3805.26</v>
      </c>
      <c r="H1922" s="22" t="n"/>
      <c r="I1922" s="23" t="n"/>
      <c r="J1922" s="18" t="n"/>
      <c r="K1922" s="24" t="n"/>
      <c r="L1922" s="4" t="n">
        <v>3</v>
      </c>
      <c r="M1922" s="4" t="inlineStr">
        <is>
          <t>sin muestra</t>
        </is>
      </c>
      <c r="N1922" s="4" t="inlineStr">
        <is>
          <t>no valorable</t>
        </is>
      </c>
      <c r="O1922" s="4" t="inlineStr">
        <is>
          <t>segmento con pocas operaciones comparables</t>
        </is>
      </c>
    </row>
    <row r="1923">
      <c r="A1923" s="4" t="inlineStr">
        <is>
          <t>MD-0462</t>
        </is>
      </c>
      <c r="B1923" s="21" t="n">
        <v>46252</v>
      </c>
      <c r="C1923" s="4" t="inlineStr">
        <is>
          <t>Puente de Vallecas</t>
        </is>
      </c>
      <c r="D1923" s="4" t="n">
        <v>40</v>
      </c>
      <c r="E1923" s="4" t="inlineStr">
        <is>
          <t>obra nueva</t>
        </is>
      </c>
      <c r="F1923" s="22" t="n">
        <v>115000</v>
      </c>
      <c r="G1923" s="23" t="n">
        <v>2875</v>
      </c>
      <c r="H1923" s="22" t="n">
        <v>130000</v>
      </c>
      <c r="I1923" s="23" t="n">
        <v>3250</v>
      </c>
      <c r="J1923" s="18" t="n">
        <v>-0.1154</v>
      </c>
      <c r="K1923" s="24" t="n">
        <v>78.8</v>
      </c>
      <c r="L1923" s="4" t="n">
        <v>39</v>
      </c>
      <c r="M1923" s="4" t="inlineStr">
        <is>
          <t>alta</t>
        </is>
      </c>
      <c r="N1923" s="4" t="inlineStr">
        <is>
          <t>por debajo de comparables</t>
        </is>
      </c>
      <c r="O1923" s="4" t="n"/>
    </row>
    <row r="1924">
      <c r="A1924" s="4" t="inlineStr">
        <is>
          <t>MD-1290</t>
        </is>
      </c>
      <c r="B1924" s="21" t="n">
        <v>46252</v>
      </c>
      <c r="C1924" s="4" t="inlineStr">
        <is>
          <t>Puente de Vallecas</t>
        </is>
      </c>
      <c r="D1924" s="4" t="n">
        <v>65</v>
      </c>
      <c r="E1924" s="4" t="inlineStr">
        <is>
          <t>reformado</t>
        </is>
      </c>
      <c r="F1924" s="22" t="n">
        <v>229000</v>
      </c>
      <c r="G1924" s="23" t="n">
        <v>3523.08</v>
      </c>
      <c r="H1924" s="22" t="n">
        <v>189461</v>
      </c>
      <c r="I1924" s="23" t="n">
        <v>2914.79</v>
      </c>
      <c r="J1924" s="18" t="n">
        <v>0.2087</v>
      </c>
      <c r="K1924" s="24" t="n">
        <v>0</v>
      </c>
      <c r="L1924" s="4" t="n">
        <v>31</v>
      </c>
      <c r="M1924" s="4" t="inlineStr">
        <is>
          <t>media</t>
        </is>
      </c>
      <c r="N1924" s="4" t="inlineStr">
        <is>
          <t>por encima de comparables</t>
        </is>
      </c>
      <c r="O1924" s="4" t="n"/>
    </row>
    <row r="1925">
      <c r="A1925" s="4" t="inlineStr">
        <is>
          <t>MD-1259</t>
        </is>
      </c>
      <c r="B1925" s="21" t="n">
        <v>46252</v>
      </c>
      <c r="C1925" s="4" t="inlineStr">
        <is>
          <t>Salamanca</t>
        </is>
      </c>
      <c r="D1925" s="4" t="n">
        <v>34</v>
      </c>
      <c r="E1925" s="4" t="inlineStr">
        <is>
          <t>reformado</t>
        </is>
      </c>
      <c r="F1925" s="22" t="n">
        <v>396000</v>
      </c>
      <c r="G1925" s="23" t="n">
        <v>11647.06</v>
      </c>
      <c r="H1925" s="22" t="n">
        <v>304329</v>
      </c>
      <c r="I1925" s="23" t="n">
        <v>8950.85</v>
      </c>
      <c r="J1925" s="18" t="n">
        <v>0.3012</v>
      </c>
      <c r="K1925" s="24" t="n">
        <v>0</v>
      </c>
      <c r="L1925" s="4" t="n">
        <v>12</v>
      </c>
      <c r="M1925" s="4" t="inlineStr">
        <is>
          <t>media</t>
        </is>
      </c>
      <c r="N1925" s="4" t="inlineStr">
        <is>
          <t>por encima de comparables</t>
        </is>
      </c>
      <c r="O1925" s="4" t="n"/>
    </row>
    <row r="1926">
      <c r="A1926" s="4" t="inlineStr">
        <is>
          <t>MD-0103</t>
        </is>
      </c>
      <c r="B1926" s="21" t="n">
        <v>46253</v>
      </c>
      <c r="C1926" s="4" t="inlineStr">
        <is>
          <t>Chamberi</t>
        </is>
      </c>
      <c r="D1926" s="4" t="n">
        <v>70</v>
      </c>
      <c r="E1926" s="4" t="inlineStr">
        <is>
          <t>buen estado</t>
        </is>
      </c>
      <c r="F1926" s="22" t="n">
        <v>601000</v>
      </c>
      <c r="G1926" s="23" t="n">
        <v>8585.709999999999</v>
      </c>
      <c r="H1926" s="22" t="n">
        <v>507596</v>
      </c>
      <c r="I1926" s="23" t="n">
        <v>7251.37</v>
      </c>
      <c r="J1926" s="18" t="n">
        <v>0.184</v>
      </c>
      <c r="K1926" s="24" t="n">
        <v>4</v>
      </c>
      <c r="L1926" s="4" t="n">
        <v>6</v>
      </c>
      <c r="M1926" s="4" t="inlineStr">
        <is>
          <t>baja</t>
        </is>
      </c>
      <c r="N1926" s="4" t="inlineStr">
        <is>
          <t>por encima de comparables</t>
        </is>
      </c>
      <c r="O1926" s="4" t="n"/>
    </row>
    <row r="1927">
      <c r="A1927" s="4" t="inlineStr">
        <is>
          <t>MD-1913</t>
        </is>
      </c>
      <c r="B1927" s="21" t="n">
        <v>46253</v>
      </c>
      <c r="C1927" s="4" t="inlineStr">
        <is>
          <t>Retiro</t>
        </is>
      </c>
      <c r="D1927" s="4" t="n">
        <v>67</v>
      </c>
      <c r="E1927" s="4" t="inlineStr">
        <is>
          <t>buen estado</t>
        </is>
      </c>
      <c r="F1927" s="22" t="n">
        <v>504000</v>
      </c>
      <c r="G1927" s="23" t="n">
        <v>7522.39</v>
      </c>
      <c r="H1927" s="22" t="n">
        <v>486109</v>
      </c>
      <c r="I1927" s="23" t="n">
        <v>7255.36</v>
      </c>
      <c r="J1927" s="18" t="n">
        <v>0.0368</v>
      </c>
      <c r="K1927" s="24" t="n">
        <v>40.8</v>
      </c>
      <c r="L1927" s="4" t="n">
        <v>9</v>
      </c>
      <c r="M1927" s="4" t="inlineStr">
        <is>
          <t>media</t>
        </is>
      </c>
      <c r="N1927" s="4" t="inlineStr">
        <is>
          <t>en linea con comparables</t>
        </is>
      </c>
      <c r="O1927" s="4" t="n"/>
    </row>
    <row r="1928">
      <c r="A1928" s="4" t="inlineStr">
        <is>
          <t>MD-1488</t>
        </is>
      </c>
      <c r="B1928" s="21" t="n">
        <v>46253</v>
      </c>
      <c r="C1928" s="4" t="inlineStr">
        <is>
          <t>Salamanca</t>
        </is>
      </c>
      <c r="D1928" s="4" t="n">
        <v>104</v>
      </c>
      <c r="E1928" s="4" t="inlineStr">
        <is>
          <t>buen estado</t>
        </is>
      </c>
      <c r="F1928" s="22" t="n">
        <v>898000</v>
      </c>
      <c r="G1928" s="23" t="n">
        <v>8634.620000000001</v>
      </c>
      <c r="H1928" s="22" t="n">
        <v>1021254</v>
      </c>
      <c r="I1928" s="23" t="n">
        <v>9819.75</v>
      </c>
      <c r="J1928" s="18" t="n">
        <v>-0.1207</v>
      </c>
      <c r="K1928" s="24" t="n">
        <v>80.2</v>
      </c>
      <c r="L1928" s="4" t="n">
        <v>12</v>
      </c>
      <c r="M1928" s="4" t="inlineStr">
        <is>
          <t>media</t>
        </is>
      </c>
      <c r="N1928" s="4" t="inlineStr">
        <is>
          <t>por debajo de comparables</t>
        </is>
      </c>
      <c r="O1928" s="4" t="n"/>
    </row>
    <row r="1929">
      <c r="A1929" s="4" t="inlineStr">
        <is>
          <t>MD-1273</t>
        </is>
      </c>
      <c r="B1929" s="21" t="n">
        <v>46253</v>
      </c>
      <c r="C1929" s="4" t="inlineStr">
        <is>
          <t>Moratalaz</t>
        </is>
      </c>
      <c r="D1929" s="4" t="n">
        <v>93</v>
      </c>
      <c r="E1929" s="4" t="inlineStr">
        <is>
          <t>buen estado</t>
        </is>
      </c>
      <c r="F1929" s="22" t="n">
        <v>332000</v>
      </c>
      <c r="G1929" s="23" t="n">
        <v>3569.89</v>
      </c>
      <c r="H1929" s="22" t="n">
        <v>323347</v>
      </c>
      <c r="I1929" s="23" t="n">
        <v>3476.85</v>
      </c>
      <c r="J1929" s="18" t="n">
        <v>0.0268</v>
      </c>
      <c r="K1929" s="24" t="n">
        <v>43.3</v>
      </c>
      <c r="L1929" s="4" t="n">
        <v>20</v>
      </c>
      <c r="M1929" s="4" t="inlineStr">
        <is>
          <t>alta</t>
        </is>
      </c>
      <c r="N1929" s="4" t="inlineStr">
        <is>
          <t>en linea con comparables</t>
        </is>
      </c>
      <c r="O1929" s="4" t="n"/>
    </row>
    <row r="1930">
      <c r="A1930" s="4" t="inlineStr">
        <is>
          <t>MD-0083</t>
        </is>
      </c>
      <c r="B1930" s="21" t="n">
        <v>46253</v>
      </c>
      <c r="C1930" s="4" t="inlineStr">
        <is>
          <t>Chamartin</t>
        </is>
      </c>
      <c r="D1930" s="4" t="n">
        <v>129</v>
      </c>
      <c r="E1930" s="4" t="inlineStr">
        <is>
          <t>a reformar</t>
        </is>
      </c>
      <c r="F1930" s="22" t="n">
        <v>797000</v>
      </c>
      <c r="G1930" s="23" t="n">
        <v>6178.29</v>
      </c>
      <c r="H1930" s="22" t="n">
        <v>838860</v>
      </c>
      <c r="I1930" s="23" t="n">
        <v>6502.79</v>
      </c>
      <c r="J1930" s="18" t="n">
        <v>-0.0499</v>
      </c>
      <c r="K1930" s="24" t="n">
        <v>62.5</v>
      </c>
      <c r="L1930" s="4" t="n">
        <v>14</v>
      </c>
      <c r="M1930" s="4" t="inlineStr">
        <is>
          <t>media</t>
        </is>
      </c>
      <c r="N1930" s="4" t="inlineStr">
        <is>
          <t>en linea con comparables</t>
        </is>
      </c>
      <c r="O1930" s="4" t="n"/>
    </row>
    <row r="1931">
      <c r="A1931" s="4" t="inlineStr">
        <is>
          <t>MD-1790</t>
        </is>
      </c>
      <c r="B1931" s="21" t="n">
        <v>46253</v>
      </c>
      <c r="C1931" s="4" t="inlineStr">
        <is>
          <t>Chamartin</t>
        </is>
      </c>
      <c r="D1931" s="4" t="n">
        <v>81</v>
      </c>
      <c r="E1931" s="4" t="inlineStr">
        <is>
          <t>a reformar</t>
        </is>
      </c>
      <c r="F1931" s="22" t="n">
        <v>400000</v>
      </c>
      <c r="G1931" s="23" t="n">
        <v>4938.27</v>
      </c>
      <c r="H1931" s="22" t="n">
        <v>483672</v>
      </c>
      <c r="I1931" s="23" t="n">
        <v>5971.26</v>
      </c>
      <c r="J1931" s="18" t="n">
        <v>-0.173</v>
      </c>
      <c r="K1931" s="24" t="n">
        <v>93.2</v>
      </c>
      <c r="L1931" s="4" t="n">
        <v>23</v>
      </c>
      <c r="M1931" s="4" t="inlineStr">
        <is>
          <t>alta</t>
        </is>
      </c>
      <c r="N1931" s="4" t="inlineStr">
        <is>
          <t>por debajo de comparables</t>
        </is>
      </c>
      <c r="O1931" s="4" t="n"/>
    </row>
    <row r="1932">
      <c r="A1932" s="4" t="inlineStr">
        <is>
          <t>MD-1966</t>
        </is>
      </c>
      <c r="B1932" s="21" t="n">
        <v>46253</v>
      </c>
      <c r="C1932" s="4" t="inlineStr">
        <is>
          <t>Ciudad Lineal</t>
        </is>
      </c>
      <c r="D1932" s="4" t="n">
        <v>98</v>
      </c>
      <c r="E1932" s="4" t="inlineStr">
        <is>
          <t>buen estado</t>
        </is>
      </c>
      <c r="F1932" s="22" t="n">
        <v>405000</v>
      </c>
      <c r="G1932" s="23" t="n">
        <v>4132.65</v>
      </c>
      <c r="H1932" s="22" t="n">
        <v>364064</v>
      </c>
      <c r="I1932" s="23" t="n">
        <v>3714.94</v>
      </c>
      <c r="J1932" s="18" t="n">
        <v>0.1124</v>
      </c>
      <c r="K1932" s="24" t="n">
        <v>21.9</v>
      </c>
      <c r="L1932" s="4" t="n">
        <v>27</v>
      </c>
      <c r="M1932" s="4" t="inlineStr">
        <is>
          <t>alta</t>
        </is>
      </c>
      <c r="N1932" s="4" t="inlineStr">
        <is>
          <t>por encima de comparables</t>
        </is>
      </c>
      <c r="O1932" s="4" t="n"/>
    </row>
    <row r="1933">
      <c r="A1933" s="4" t="inlineStr">
        <is>
          <t>MD-0568</t>
        </is>
      </c>
      <c r="B1933" s="21" t="n">
        <v>46253</v>
      </c>
      <c r="C1933" s="4" t="inlineStr">
        <is>
          <t>Carabanchel</t>
        </is>
      </c>
      <c r="D1933" s="4" t="n">
        <v>60</v>
      </c>
      <c r="E1933" s="4" t="inlineStr">
        <is>
          <t>reformado</t>
        </is>
      </c>
      <c r="F1933" s="22" t="n">
        <v>196000</v>
      </c>
      <c r="G1933" s="23" t="n">
        <v>3266.67</v>
      </c>
      <c r="H1933" s="22" t="n">
        <v>217867</v>
      </c>
      <c r="I1933" s="23" t="n">
        <v>3631.12</v>
      </c>
      <c r="J1933" s="18" t="n">
        <v>-0.1004</v>
      </c>
      <c r="K1933" s="24" t="n">
        <v>75.09999999999999</v>
      </c>
      <c r="L1933" s="4" t="n">
        <v>46</v>
      </c>
      <c r="M1933" s="4" t="inlineStr">
        <is>
          <t>alta</t>
        </is>
      </c>
      <c r="N1933" s="4" t="inlineStr">
        <is>
          <t>por debajo de comparables</t>
        </is>
      </c>
      <c r="O1933" s="4" t="n"/>
    </row>
    <row r="1934">
      <c r="A1934" s="4" t="inlineStr">
        <is>
          <t>MD-1186</t>
        </is>
      </c>
      <c r="B1934" s="21" t="n">
        <v>46253</v>
      </c>
      <c r="C1934" s="4" t="inlineStr">
        <is>
          <t>Chamberi</t>
        </is>
      </c>
      <c r="D1934" s="4" t="n">
        <v>36</v>
      </c>
      <c r="E1934" s="4" t="inlineStr">
        <is>
          <t>a reformar</t>
        </is>
      </c>
      <c r="F1934" s="22" t="n">
        <v>211000</v>
      </c>
      <c r="G1934" s="23" t="n">
        <v>5861.11</v>
      </c>
      <c r="H1934" s="22" t="n">
        <v>222733</v>
      </c>
      <c r="I1934" s="23" t="n">
        <v>6187.03</v>
      </c>
      <c r="J1934" s="18" t="n">
        <v>-0.0527</v>
      </c>
      <c r="K1934" s="24" t="n">
        <v>63.2</v>
      </c>
      <c r="L1934" s="4" t="n">
        <v>10</v>
      </c>
      <c r="M1934" s="4" t="inlineStr">
        <is>
          <t>media</t>
        </is>
      </c>
      <c r="N1934" s="4" t="inlineStr">
        <is>
          <t>en linea con comparables</t>
        </is>
      </c>
      <c r="O1934" s="4" t="n"/>
    </row>
    <row r="1935">
      <c r="A1935" s="4" t="inlineStr">
        <is>
          <t>MD-1789</t>
        </is>
      </c>
      <c r="B1935" s="21" t="n">
        <v>46253</v>
      </c>
      <c r="C1935" s="4" t="inlineStr">
        <is>
          <t>Latina</t>
        </is>
      </c>
      <c r="D1935" s="4" t="n">
        <v>73</v>
      </c>
      <c r="E1935" s="4" t="inlineStr">
        <is>
          <t>a reformar</t>
        </is>
      </c>
      <c r="F1935" s="22" t="n">
        <v>170000</v>
      </c>
      <c r="G1935" s="23" t="n">
        <v>2328.77</v>
      </c>
      <c r="H1935" s="22" t="n">
        <v>188801</v>
      </c>
      <c r="I1935" s="23" t="n">
        <v>2586.31</v>
      </c>
      <c r="J1935" s="18" t="n">
        <v>-0.09959999999999999</v>
      </c>
      <c r="K1935" s="24" t="n">
        <v>74.90000000000001</v>
      </c>
      <c r="L1935" s="4" t="n">
        <v>41</v>
      </c>
      <c r="M1935" s="4" t="inlineStr">
        <is>
          <t>media</t>
        </is>
      </c>
      <c r="N1935" s="4" t="inlineStr">
        <is>
          <t>en linea con comparables</t>
        </is>
      </c>
      <c r="O1935" s="4" t="n"/>
    </row>
    <row r="1936">
      <c r="A1936" s="4" t="inlineStr">
        <is>
          <t>MD-0438</t>
        </is>
      </c>
      <c r="B1936" s="21" t="n">
        <v>46254</v>
      </c>
      <c r="C1936" s="4" t="inlineStr">
        <is>
          <t>Puente de Vallecas</t>
        </is>
      </c>
      <c r="D1936" s="4" t="n">
        <v>57</v>
      </c>
      <c r="E1936" s="4" t="inlineStr">
        <is>
          <t>a reformar</t>
        </is>
      </c>
      <c r="F1936" s="22" t="n">
        <v>136000</v>
      </c>
      <c r="G1936" s="23" t="n">
        <v>2385.96</v>
      </c>
      <c r="H1936" s="22" t="n">
        <v>142229</v>
      </c>
      <c r="I1936" s="23" t="n">
        <v>2495.24</v>
      </c>
      <c r="J1936" s="18" t="n">
        <v>-0.0438</v>
      </c>
      <c r="K1936" s="24" t="n">
        <v>60.9</v>
      </c>
      <c r="L1936" s="4" t="n">
        <v>30</v>
      </c>
      <c r="M1936" s="4" t="inlineStr">
        <is>
          <t>media</t>
        </is>
      </c>
      <c r="N1936" s="4" t="inlineStr">
        <is>
          <t>en linea con comparables</t>
        </is>
      </c>
      <c r="O1936" s="4" t="n"/>
    </row>
    <row r="1937">
      <c r="A1937" s="4" t="inlineStr">
        <is>
          <t>MD-0360</t>
        </is>
      </c>
      <c r="B1937" s="21" t="n">
        <v>46254</v>
      </c>
      <c r="C1937" s="4" t="inlineStr">
        <is>
          <t>Fuencarral-El Pardo</t>
        </is>
      </c>
      <c r="D1937" s="4" t="n">
        <v>102</v>
      </c>
      <c r="E1937" s="4" t="inlineStr">
        <is>
          <t>reformado</t>
        </is>
      </c>
      <c r="F1937" s="22" t="n">
        <v>694000</v>
      </c>
      <c r="G1937" s="23" t="n">
        <v>6803.92</v>
      </c>
      <c r="H1937" s="22" t="n">
        <v>624348</v>
      </c>
      <c r="I1937" s="23" t="n">
        <v>6121.06</v>
      </c>
      <c r="J1937" s="18" t="n">
        <v>0.1116</v>
      </c>
      <c r="K1937" s="24" t="n">
        <v>22.1</v>
      </c>
      <c r="L1937" s="4" t="n">
        <v>35</v>
      </c>
      <c r="M1937" s="4" t="inlineStr">
        <is>
          <t>alta</t>
        </is>
      </c>
      <c r="N1937" s="4" t="inlineStr">
        <is>
          <t>por encima de comparables</t>
        </is>
      </c>
      <c r="O1937" s="4" t="n"/>
    </row>
    <row r="1938">
      <c r="A1938" s="4" t="inlineStr">
        <is>
          <t>MD-0802</t>
        </is>
      </c>
      <c r="B1938" s="21" t="n">
        <v>46254</v>
      </c>
      <c r="C1938" s="4" t="inlineStr">
        <is>
          <t>Fuencarral-El Pardo</t>
        </is>
      </c>
      <c r="D1938" s="4" t="n">
        <v>55</v>
      </c>
      <c r="E1938" s="4" t="inlineStr">
        <is>
          <t>buen estado</t>
        </is>
      </c>
      <c r="F1938" s="22" t="n">
        <v>337000</v>
      </c>
      <c r="G1938" s="23" t="n">
        <v>6127.27</v>
      </c>
      <c r="H1938" s="22" t="n">
        <v>326155</v>
      </c>
      <c r="I1938" s="23" t="n">
        <v>5930.1</v>
      </c>
      <c r="J1938" s="18" t="n">
        <v>0.0333</v>
      </c>
      <c r="K1938" s="24" t="n">
        <v>41.7</v>
      </c>
      <c r="L1938" s="4" t="n">
        <v>26</v>
      </c>
      <c r="M1938" s="4" t="inlineStr">
        <is>
          <t>media</t>
        </is>
      </c>
      <c r="N1938" s="4" t="inlineStr">
        <is>
          <t>en linea con comparables</t>
        </is>
      </c>
      <c r="O1938" s="4" t="n"/>
    </row>
    <row r="1939">
      <c r="A1939" s="4" t="inlineStr">
        <is>
          <t>MD-0245</t>
        </is>
      </c>
      <c r="B1939" s="21" t="n">
        <v>46254</v>
      </c>
      <c r="C1939" s="4" t="inlineStr">
        <is>
          <t>Usera</t>
        </is>
      </c>
      <c r="D1939" s="4" t="n">
        <v>59</v>
      </c>
      <c r="E1939" s="4" t="inlineStr">
        <is>
          <t>a reformar</t>
        </is>
      </c>
      <c r="F1939" s="22" t="n">
        <v>116000</v>
      </c>
      <c r="G1939" s="23" t="n">
        <v>1966.1</v>
      </c>
      <c r="H1939" s="22" t="n">
        <v>141123</v>
      </c>
      <c r="I1939" s="23" t="n">
        <v>2391.92</v>
      </c>
      <c r="J1939" s="18" t="n">
        <v>-0.178</v>
      </c>
      <c r="K1939" s="24" t="n">
        <v>94.5</v>
      </c>
      <c r="L1939" s="4" t="n">
        <v>10</v>
      </c>
      <c r="M1939" s="4" t="inlineStr">
        <is>
          <t>media</t>
        </is>
      </c>
      <c r="N1939" s="4" t="inlineStr">
        <is>
          <t>por debajo de comparables</t>
        </is>
      </c>
      <c r="O1939" s="4" t="n"/>
    </row>
    <row r="1940">
      <c r="A1940" s="4" t="inlineStr">
        <is>
          <t>MD-0699</t>
        </is>
      </c>
      <c r="B1940" s="21" t="n">
        <v>46255</v>
      </c>
      <c r="C1940" s="4" t="inlineStr">
        <is>
          <t>Chamberi</t>
        </is>
      </c>
      <c r="D1940" s="4" t="n">
        <v>56</v>
      </c>
      <c r="E1940" s="4" t="inlineStr">
        <is>
          <t>buen estado</t>
        </is>
      </c>
      <c r="F1940" s="22" t="n">
        <v>406000</v>
      </c>
      <c r="G1940" s="23" t="n">
        <v>7250</v>
      </c>
      <c r="H1940" s="22" t="n">
        <v>435620</v>
      </c>
      <c r="I1940" s="23" t="n">
        <v>7778.93</v>
      </c>
      <c r="J1940" s="18" t="n">
        <v>-0.068</v>
      </c>
      <c r="K1940" s="24" t="n">
        <v>67</v>
      </c>
      <c r="L1940" s="4" t="n">
        <v>10</v>
      </c>
      <c r="M1940" s="4" t="inlineStr">
        <is>
          <t>media</t>
        </is>
      </c>
      <c r="N1940" s="4" t="inlineStr">
        <is>
          <t>en linea con comparables</t>
        </is>
      </c>
      <c r="O1940" s="4" t="n"/>
    </row>
    <row r="1941">
      <c r="A1941" s="4" t="inlineStr">
        <is>
          <t>MD-0862</t>
        </is>
      </c>
      <c r="B1941" s="21" t="n">
        <v>46255</v>
      </c>
      <c r="C1941" s="4" t="inlineStr">
        <is>
          <t>Fuencarral-El Pardo</t>
        </is>
      </c>
      <c r="D1941" s="4" t="n">
        <v>139</v>
      </c>
      <c r="E1941" s="4" t="inlineStr">
        <is>
          <t>buen estado</t>
        </is>
      </c>
      <c r="F1941" s="22" t="n">
        <v>843000</v>
      </c>
      <c r="G1941" s="23" t="n">
        <v>6064.75</v>
      </c>
      <c r="H1941" s="22" t="n">
        <v>718332</v>
      </c>
      <c r="I1941" s="23" t="n">
        <v>5167.85</v>
      </c>
      <c r="J1941" s="18" t="n">
        <v>0.1736</v>
      </c>
      <c r="K1941" s="24" t="n">
        <v>6.6</v>
      </c>
      <c r="L1941" s="4" t="n">
        <v>24</v>
      </c>
      <c r="M1941" s="4" t="inlineStr">
        <is>
          <t>alta</t>
        </is>
      </c>
      <c r="N1941" s="4" t="inlineStr">
        <is>
          <t>por encima de comparables</t>
        </is>
      </c>
      <c r="O1941" s="4" t="n"/>
    </row>
    <row r="1942">
      <c r="A1942" s="4" t="inlineStr">
        <is>
          <t>MD-1906</t>
        </is>
      </c>
      <c r="B1942" s="21" t="n">
        <v>46255</v>
      </c>
      <c r="C1942" s="4" t="inlineStr">
        <is>
          <t>Tetuan</t>
        </is>
      </c>
      <c r="D1942" s="4" t="n">
        <v>38</v>
      </c>
      <c r="E1942" s="4" t="inlineStr">
        <is>
          <t>a reformar</t>
        </is>
      </c>
      <c r="F1942" s="22" t="n">
        <v>134000</v>
      </c>
      <c r="G1942" s="23" t="n">
        <v>3526.32</v>
      </c>
      <c r="H1942" s="22" t="n">
        <v>182584</v>
      </c>
      <c r="I1942" s="23" t="n">
        <v>4804.84</v>
      </c>
      <c r="J1942" s="18" t="n">
        <v>-0.2661</v>
      </c>
      <c r="K1942" s="24" t="n">
        <v>100</v>
      </c>
      <c r="L1942" s="4" t="n">
        <v>16</v>
      </c>
      <c r="M1942" s="4" t="inlineStr">
        <is>
          <t>media</t>
        </is>
      </c>
      <c r="N1942" s="4" t="inlineStr">
        <is>
          <t>por debajo de comparables</t>
        </is>
      </c>
      <c r="O1942" s="4" t="n"/>
    </row>
    <row r="1943">
      <c r="A1943" s="4" t="inlineStr">
        <is>
          <t>MD-1961</t>
        </is>
      </c>
      <c r="B1943" s="21" t="n">
        <v>46256</v>
      </c>
      <c r="C1943" s="4" t="inlineStr">
        <is>
          <t>Hortaleza</t>
        </is>
      </c>
      <c r="D1943" s="4" t="n">
        <v>52</v>
      </c>
      <c r="E1943" s="4" t="inlineStr">
        <is>
          <t>reformado</t>
        </is>
      </c>
      <c r="F1943" s="22" t="n">
        <v>273000</v>
      </c>
      <c r="G1943" s="23" t="n">
        <v>5250</v>
      </c>
      <c r="H1943" s="22" t="n">
        <v>344405</v>
      </c>
      <c r="I1943" s="23" t="n">
        <v>6623.18</v>
      </c>
      <c r="J1943" s="18" t="n">
        <v>-0.2073</v>
      </c>
      <c r="K1943" s="24" t="n">
        <v>100</v>
      </c>
      <c r="L1943" s="4" t="n">
        <v>12</v>
      </c>
      <c r="M1943" s="4" t="inlineStr">
        <is>
          <t>media</t>
        </is>
      </c>
      <c r="N1943" s="4" t="inlineStr">
        <is>
          <t>por debajo de comparables</t>
        </is>
      </c>
      <c r="O1943" s="4" t="n"/>
    </row>
    <row r="1944">
      <c r="A1944" s="4" t="inlineStr">
        <is>
          <t>MD-0286</t>
        </is>
      </c>
      <c r="B1944" s="21" t="n">
        <v>46256</v>
      </c>
      <c r="C1944" s="4" t="inlineStr">
        <is>
          <t>Chamartin</t>
        </is>
      </c>
      <c r="D1944" s="4" t="n">
        <v>138</v>
      </c>
      <c r="E1944" s="4" t="inlineStr">
        <is>
          <t>buen estado</t>
        </is>
      </c>
      <c r="F1944" s="22" t="n">
        <v>996000</v>
      </c>
      <c r="G1944" s="23" t="n">
        <v>7217.39</v>
      </c>
      <c r="H1944" s="22" t="n">
        <v>907301</v>
      </c>
      <c r="I1944" s="23" t="n">
        <v>6574.64</v>
      </c>
      <c r="J1944" s="18" t="n">
        <v>0.0978</v>
      </c>
      <c r="K1944" s="24" t="n">
        <v>25.6</v>
      </c>
      <c r="L1944" s="4" t="n">
        <v>16</v>
      </c>
      <c r="M1944" s="4" t="inlineStr">
        <is>
          <t>media</t>
        </is>
      </c>
      <c r="N1944" s="4" t="inlineStr">
        <is>
          <t>en linea con comparables</t>
        </is>
      </c>
      <c r="O1944" s="4" t="n"/>
    </row>
    <row r="1945">
      <c r="A1945" s="4" t="inlineStr">
        <is>
          <t>MD-1599</t>
        </is>
      </c>
      <c r="B1945" s="21" t="n">
        <v>46256</v>
      </c>
      <c r="C1945" s="4" t="inlineStr">
        <is>
          <t>Tetuan</t>
        </is>
      </c>
      <c r="D1945" s="4" t="n">
        <v>32</v>
      </c>
      <c r="E1945" s="4" t="inlineStr">
        <is>
          <t>reformado</t>
        </is>
      </c>
      <c r="F1945" s="22" t="n">
        <v>150000</v>
      </c>
      <c r="G1945" s="23" t="n">
        <v>4687.5</v>
      </c>
      <c r="H1945" s="22" t="n">
        <v>178546</v>
      </c>
      <c r="I1945" s="23" t="n">
        <v>5579.55</v>
      </c>
      <c r="J1945" s="18" t="n">
        <v>-0.1599</v>
      </c>
      <c r="K1945" s="24" t="n">
        <v>90</v>
      </c>
      <c r="L1945" s="4" t="n">
        <v>13</v>
      </c>
      <c r="M1945" s="4" t="inlineStr">
        <is>
          <t>media</t>
        </is>
      </c>
      <c r="N1945" s="4" t="inlineStr">
        <is>
          <t>por debajo de comparables</t>
        </is>
      </c>
      <c r="O1945" s="4" t="n"/>
    </row>
    <row r="1946">
      <c r="A1946" s="4" t="inlineStr">
        <is>
          <t>MD-1512</t>
        </is>
      </c>
      <c r="B1946" s="21" t="n">
        <v>46256</v>
      </c>
      <c r="C1946" s="4" t="inlineStr">
        <is>
          <t>Villa de Vallecas</t>
        </is>
      </c>
      <c r="D1946" s="4" t="n">
        <v>142</v>
      </c>
      <c r="E1946" s="4" t="inlineStr">
        <is>
          <t>buen estado</t>
        </is>
      </c>
      <c r="F1946" s="22" t="n">
        <v>540000</v>
      </c>
      <c r="G1946" s="23" t="n">
        <v>3802.82</v>
      </c>
      <c r="H1946" s="22" t="n"/>
      <c r="I1946" s="23" t="n"/>
      <c r="J1946" s="18" t="n"/>
      <c r="K1946" s="24" t="n"/>
      <c r="L1946" s="4" t="n">
        <v>2</v>
      </c>
      <c r="M1946" s="4" t="inlineStr">
        <is>
          <t>sin muestra</t>
        </is>
      </c>
      <c r="N1946" s="4" t="inlineStr">
        <is>
          <t>no valorable</t>
        </is>
      </c>
      <c r="O1946" s="4" t="inlineStr">
        <is>
          <t>segmento con pocas operaciones comparables</t>
        </is>
      </c>
    </row>
    <row r="1947">
      <c r="A1947" s="4" t="inlineStr">
        <is>
          <t>MD-0430</t>
        </is>
      </c>
      <c r="B1947" s="21" t="n">
        <v>46257</v>
      </c>
      <c r="C1947" s="4" t="inlineStr">
        <is>
          <t>Latina</t>
        </is>
      </c>
      <c r="D1947" s="4" t="n">
        <v>53</v>
      </c>
      <c r="E1947" s="4" t="inlineStr">
        <is>
          <t>buen estado</t>
        </is>
      </c>
      <c r="F1947" s="22" t="n">
        <v>186000</v>
      </c>
      <c r="G1947" s="23" t="n">
        <v>3509.43</v>
      </c>
      <c r="H1947" s="22" t="n">
        <v>169776</v>
      </c>
      <c r="I1947" s="23" t="n">
        <v>3203.33</v>
      </c>
      <c r="J1947" s="18" t="n">
        <v>0.0956</v>
      </c>
      <c r="K1947" s="24" t="n">
        <v>26.1</v>
      </c>
      <c r="L1947" s="4" t="n">
        <v>38</v>
      </c>
      <c r="M1947" s="4" t="inlineStr">
        <is>
          <t>alta</t>
        </is>
      </c>
      <c r="N1947" s="4" t="inlineStr">
        <is>
          <t>en linea con comparables</t>
        </is>
      </c>
      <c r="O1947" s="4" t="n"/>
    </row>
    <row r="1948">
      <c r="A1948" s="4" t="inlineStr">
        <is>
          <t>MD-1672</t>
        </is>
      </c>
      <c r="B1948" s="21" t="n">
        <v>46257</v>
      </c>
      <c r="C1948" s="4" t="inlineStr">
        <is>
          <t>Vicalvaro</t>
        </is>
      </c>
      <c r="D1948" s="4" t="n">
        <v>75</v>
      </c>
      <c r="E1948" s="4" t="inlineStr">
        <is>
          <t>buen estado</t>
        </is>
      </c>
      <c r="F1948" s="22" t="n">
        <v>296000</v>
      </c>
      <c r="G1948" s="23" t="n">
        <v>3946.67</v>
      </c>
      <c r="H1948" s="22" t="n">
        <v>243161</v>
      </c>
      <c r="I1948" s="23" t="n">
        <v>3242.14</v>
      </c>
      <c r="J1948" s="18" t="n">
        <v>0.2173</v>
      </c>
      <c r="K1948" s="24" t="n">
        <v>0</v>
      </c>
      <c r="L1948" s="4" t="n">
        <v>27</v>
      </c>
      <c r="M1948" s="4" t="inlineStr">
        <is>
          <t>alta</t>
        </is>
      </c>
      <c r="N1948" s="4" t="inlineStr">
        <is>
          <t>por encima de comparables</t>
        </is>
      </c>
      <c r="O1948" s="4" t="n"/>
    </row>
    <row r="1949">
      <c r="A1949" s="4" t="inlineStr">
        <is>
          <t>MD-1368</t>
        </is>
      </c>
      <c r="B1949" s="21" t="n">
        <v>46257</v>
      </c>
      <c r="C1949" s="4" t="inlineStr">
        <is>
          <t>Centro</t>
        </is>
      </c>
      <c r="D1949" s="4" t="n">
        <v>82</v>
      </c>
      <c r="E1949" s="4" t="inlineStr">
        <is>
          <t>reformado</t>
        </is>
      </c>
      <c r="F1949" s="22" t="n">
        <v>707000</v>
      </c>
      <c r="G1949" s="23" t="n">
        <v>8621.950000000001</v>
      </c>
      <c r="H1949" s="22" t="n">
        <v>659296</v>
      </c>
      <c r="I1949" s="23" t="n">
        <v>8040.19</v>
      </c>
      <c r="J1949" s="18" t="n">
        <v>0.07240000000000001</v>
      </c>
      <c r="K1949" s="24" t="n">
        <v>31.9</v>
      </c>
      <c r="L1949" s="4" t="n">
        <v>26</v>
      </c>
      <c r="M1949" s="4" t="inlineStr">
        <is>
          <t>media</t>
        </is>
      </c>
      <c r="N1949" s="4" t="inlineStr">
        <is>
          <t>en linea con comparables</t>
        </is>
      </c>
      <c r="O1949" s="4" t="n"/>
    </row>
    <row r="1950">
      <c r="A1950" s="4" t="inlineStr">
        <is>
          <t>MD-0572</t>
        </is>
      </c>
      <c r="B1950" s="21" t="n">
        <v>46257</v>
      </c>
      <c r="C1950" s="4" t="inlineStr">
        <is>
          <t>Carabanchel</t>
        </is>
      </c>
      <c r="D1950" s="4" t="n">
        <v>93</v>
      </c>
      <c r="E1950" s="4" t="inlineStr">
        <is>
          <t>reformado</t>
        </is>
      </c>
      <c r="F1950" s="22" t="n">
        <v>383000</v>
      </c>
      <c r="G1950" s="23" t="n">
        <v>4118.28</v>
      </c>
      <c r="H1950" s="22" t="n">
        <v>342489</v>
      </c>
      <c r="I1950" s="23" t="n">
        <v>3682.67</v>
      </c>
      <c r="J1950" s="18" t="n">
        <v>0.1183</v>
      </c>
      <c r="K1950" s="24" t="n">
        <v>20.4</v>
      </c>
      <c r="L1950" s="4" t="n">
        <v>22</v>
      </c>
      <c r="M1950" s="4" t="inlineStr">
        <is>
          <t>alta</t>
        </is>
      </c>
      <c r="N1950" s="4" t="inlineStr">
        <is>
          <t>por encima de comparables</t>
        </is>
      </c>
      <c r="O1950" s="4" t="n"/>
    </row>
    <row r="1951">
      <c r="A1951" s="4" t="inlineStr">
        <is>
          <t>MD-0428</t>
        </is>
      </c>
      <c r="B1951" s="21" t="n">
        <v>46257</v>
      </c>
      <c r="C1951" s="4" t="inlineStr">
        <is>
          <t>Centro</t>
        </is>
      </c>
      <c r="D1951" s="4" t="n">
        <v>79</v>
      </c>
      <c r="E1951" s="4" t="inlineStr">
        <is>
          <t>reformado</t>
        </is>
      </c>
      <c r="F1951" s="22" t="n">
        <v>556000</v>
      </c>
      <c r="G1951" s="23" t="n">
        <v>7037.97</v>
      </c>
      <c r="H1951" s="22" t="n">
        <v>616210</v>
      </c>
      <c r="I1951" s="23" t="n">
        <v>7800.13</v>
      </c>
      <c r="J1951" s="18" t="n">
        <v>-0.0977</v>
      </c>
      <c r="K1951" s="24" t="n">
        <v>74.40000000000001</v>
      </c>
      <c r="L1951" s="4" t="n">
        <v>23</v>
      </c>
      <c r="M1951" s="4" t="inlineStr">
        <is>
          <t>media</t>
        </is>
      </c>
      <c r="N1951" s="4" t="inlineStr">
        <is>
          <t>en linea con comparables</t>
        </is>
      </c>
      <c r="O1951" s="4" t="n"/>
    </row>
    <row r="1952">
      <c r="A1952" s="4" t="inlineStr">
        <is>
          <t>MD-1416</t>
        </is>
      </c>
      <c r="B1952" s="21" t="n">
        <v>46257</v>
      </c>
      <c r="C1952" s="4" t="inlineStr">
        <is>
          <t>Vicalvaro</t>
        </is>
      </c>
      <c r="D1952" s="4" t="n">
        <v>74</v>
      </c>
      <c r="E1952" s="4" t="inlineStr">
        <is>
          <t>buen estado</t>
        </is>
      </c>
      <c r="F1952" s="22" t="n">
        <v>207000</v>
      </c>
      <c r="G1952" s="23" t="n">
        <v>2797.3</v>
      </c>
      <c r="H1952" s="22" t="n">
        <v>272875</v>
      </c>
      <c r="I1952" s="23" t="n">
        <v>3687.5</v>
      </c>
      <c r="J1952" s="18" t="n">
        <v>-0.2414</v>
      </c>
      <c r="K1952" s="24" t="n">
        <v>100</v>
      </c>
      <c r="L1952" s="4" t="n">
        <v>25</v>
      </c>
      <c r="M1952" s="4" t="inlineStr">
        <is>
          <t>alta</t>
        </is>
      </c>
      <c r="N1952" s="4" t="inlineStr">
        <is>
          <t>por debajo de comparables</t>
        </is>
      </c>
      <c r="O1952" s="4" t="n"/>
    </row>
    <row r="1953">
      <c r="A1953" s="4" t="inlineStr">
        <is>
          <t>MD-1492</t>
        </is>
      </c>
      <c r="B1953" s="21" t="n">
        <v>46258</v>
      </c>
      <c r="C1953" s="4" t="inlineStr">
        <is>
          <t>Chamberi</t>
        </is>
      </c>
      <c r="D1953" s="4" t="n">
        <v>38</v>
      </c>
      <c r="E1953" s="4" t="inlineStr">
        <is>
          <t>buen estado</t>
        </is>
      </c>
      <c r="F1953" s="22" t="n">
        <v>260000</v>
      </c>
      <c r="G1953" s="23" t="n">
        <v>6842.11</v>
      </c>
      <c r="H1953" s="22" t="n">
        <v>272097</v>
      </c>
      <c r="I1953" s="23" t="n">
        <v>7160.45</v>
      </c>
      <c r="J1953" s="18" t="n">
        <v>-0.0445</v>
      </c>
      <c r="K1953" s="24" t="n">
        <v>61.1</v>
      </c>
      <c r="L1953" s="4" t="n">
        <v>10</v>
      </c>
      <c r="M1953" s="4" t="inlineStr">
        <is>
          <t>media</t>
        </is>
      </c>
      <c r="N1953" s="4" t="inlineStr">
        <is>
          <t>en linea con comparables</t>
        </is>
      </c>
      <c r="O1953" s="4" t="n"/>
    </row>
    <row r="1954">
      <c r="A1954" s="4" t="inlineStr">
        <is>
          <t>MD-1907</t>
        </is>
      </c>
      <c r="B1954" s="21" t="n">
        <v>46258</v>
      </c>
      <c r="C1954" s="4" t="inlineStr">
        <is>
          <t>Puente de Vallecas</t>
        </is>
      </c>
      <c r="D1954" s="4" t="n">
        <v>68</v>
      </c>
      <c r="E1954" s="4" t="inlineStr">
        <is>
          <t>reformado</t>
        </is>
      </c>
      <c r="F1954" s="22" t="n">
        <v>235000</v>
      </c>
      <c r="G1954" s="23" t="n">
        <v>3455.88</v>
      </c>
      <c r="H1954" s="22" t="n">
        <v>230620</v>
      </c>
      <c r="I1954" s="23" t="n">
        <v>3391.47</v>
      </c>
      <c r="J1954" s="18" t="n">
        <v>0.019</v>
      </c>
      <c r="K1954" s="24" t="n">
        <v>45.3</v>
      </c>
      <c r="L1954" s="4" t="n">
        <v>38</v>
      </c>
      <c r="M1954" s="4" t="inlineStr">
        <is>
          <t>media</t>
        </is>
      </c>
      <c r="N1954" s="4" t="inlineStr">
        <is>
          <t>en linea con comparables</t>
        </is>
      </c>
      <c r="O1954" s="4" t="n"/>
    </row>
    <row r="1955">
      <c r="A1955" s="4" t="inlineStr">
        <is>
          <t>MD-1579</t>
        </is>
      </c>
      <c r="B1955" s="21" t="n">
        <v>46258</v>
      </c>
      <c r="C1955" s="4" t="inlineStr">
        <is>
          <t>Fuencarral-El Pardo</t>
        </is>
      </c>
      <c r="D1955" s="4" t="n">
        <v>52</v>
      </c>
      <c r="E1955" s="4" t="inlineStr">
        <is>
          <t>buen estado</t>
        </is>
      </c>
      <c r="F1955" s="22" t="n">
        <v>287000</v>
      </c>
      <c r="G1955" s="23" t="n">
        <v>5519.23</v>
      </c>
      <c r="H1955" s="22" t="n">
        <v>316339</v>
      </c>
      <c r="I1955" s="23" t="n">
        <v>6083.44</v>
      </c>
      <c r="J1955" s="18" t="n">
        <v>-0.0927</v>
      </c>
      <c r="K1955" s="24" t="n">
        <v>73.2</v>
      </c>
      <c r="L1955" s="4" t="n">
        <v>22</v>
      </c>
      <c r="M1955" s="4" t="inlineStr">
        <is>
          <t>media</t>
        </is>
      </c>
      <c r="N1955" s="4" t="inlineStr">
        <is>
          <t>en linea con comparables</t>
        </is>
      </c>
      <c r="O1955" s="4" t="n"/>
    </row>
    <row r="1956">
      <c r="A1956" s="4" t="inlineStr">
        <is>
          <t>MD-1220</t>
        </is>
      </c>
      <c r="B1956" s="21" t="n">
        <v>46258</v>
      </c>
      <c r="C1956" s="4" t="inlineStr">
        <is>
          <t>Moncloa-Aravaca</t>
        </is>
      </c>
      <c r="D1956" s="4" t="n">
        <v>47</v>
      </c>
      <c r="E1956" s="4" t="inlineStr">
        <is>
          <t>a reformar</t>
        </is>
      </c>
      <c r="F1956" s="22" t="n">
        <v>210000</v>
      </c>
      <c r="G1956" s="23" t="n">
        <v>4468.09</v>
      </c>
      <c r="H1956" s="22" t="n">
        <v>255421</v>
      </c>
      <c r="I1956" s="23" t="n">
        <v>5434.48</v>
      </c>
      <c r="J1956" s="18" t="n">
        <v>-0.1778</v>
      </c>
      <c r="K1956" s="24" t="n">
        <v>94.5</v>
      </c>
      <c r="L1956" s="4" t="n">
        <v>5</v>
      </c>
      <c r="M1956" s="4" t="inlineStr">
        <is>
          <t>baja</t>
        </is>
      </c>
      <c r="N1956" s="4" t="inlineStr">
        <is>
          <t>por debajo de comparables</t>
        </is>
      </c>
      <c r="O1956" s="4" t="n"/>
    </row>
    <row r="1957">
      <c r="A1957" s="4" t="inlineStr">
        <is>
          <t>MD-0340</t>
        </is>
      </c>
      <c r="B1957" s="21" t="n">
        <v>46258</v>
      </c>
      <c r="C1957" s="4" t="inlineStr">
        <is>
          <t>Carabanchel</t>
        </is>
      </c>
      <c r="D1957" s="4" t="n">
        <v>55</v>
      </c>
      <c r="E1957" s="4" t="inlineStr">
        <is>
          <t>buen estado</t>
        </is>
      </c>
      <c r="F1957" s="22" t="n">
        <v>138000</v>
      </c>
      <c r="G1957" s="23" t="n">
        <v>2509.09</v>
      </c>
      <c r="H1957" s="22" t="n">
        <v>143181</v>
      </c>
      <c r="I1957" s="23" t="n">
        <v>2603.3</v>
      </c>
      <c r="J1957" s="18" t="n">
        <v>-0.0362</v>
      </c>
      <c r="K1957" s="24" t="n">
        <v>59</v>
      </c>
      <c r="L1957" s="4" t="n">
        <v>45</v>
      </c>
      <c r="M1957" s="4" t="inlineStr">
        <is>
          <t>alta</t>
        </is>
      </c>
      <c r="N1957" s="4" t="inlineStr">
        <is>
          <t>en linea con comparables</t>
        </is>
      </c>
      <c r="O1957" s="4" t="n"/>
    </row>
    <row r="1958">
      <c r="A1958" s="4" t="inlineStr">
        <is>
          <t>MD-1844</t>
        </is>
      </c>
      <c r="B1958" s="21" t="n">
        <v>46258</v>
      </c>
      <c r="C1958" s="4" t="inlineStr">
        <is>
          <t>Fuencarral-El Pardo</t>
        </is>
      </c>
      <c r="D1958" s="4" t="n">
        <v>181</v>
      </c>
      <c r="E1958" s="4" t="inlineStr">
        <is>
          <t>reformado</t>
        </is>
      </c>
      <c r="F1958" s="22" t="n">
        <v>1195000</v>
      </c>
      <c r="G1958" s="23" t="n">
        <v>6602.21</v>
      </c>
      <c r="H1958" s="22" t="n">
        <v>956596</v>
      </c>
      <c r="I1958" s="23" t="n">
        <v>5285.06</v>
      </c>
      <c r="J1958" s="18" t="n">
        <v>0.2492</v>
      </c>
      <c r="K1958" s="24" t="n">
        <v>0</v>
      </c>
      <c r="L1958" s="4" t="n">
        <v>17</v>
      </c>
      <c r="M1958" s="4" t="inlineStr">
        <is>
          <t>media</t>
        </is>
      </c>
      <c r="N1958" s="4" t="inlineStr">
        <is>
          <t>por encima de comparables</t>
        </is>
      </c>
      <c r="O1958" s="4" t="n"/>
    </row>
    <row r="1959">
      <c r="A1959" s="4" t="inlineStr">
        <is>
          <t>MD-1545</t>
        </is>
      </c>
      <c r="B1959" s="21" t="n">
        <v>46258</v>
      </c>
      <c r="C1959" s="4" t="inlineStr">
        <is>
          <t>Ciudad Lineal</t>
        </is>
      </c>
      <c r="D1959" s="4" t="n">
        <v>101</v>
      </c>
      <c r="E1959" s="4" t="inlineStr">
        <is>
          <t>a reformar</t>
        </is>
      </c>
      <c r="F1959" s="22" t="n">
        <v>328000</v>
      </c>
      <c r="G1959" s="23" t="n">
        <v>3247.52</v>
      </c>
      <c r="H1959" s="22" t="n">
        <v>398641</v>
      </c>
      <c r="I1959" s="23" t="n">
        <v>3946.94</v>
      </c>
      <c r="J1959" s="18" t="n">
        <v>-0.1772</v>
      </c>
      <c r="K1959" s="24" t="n">
        <v>94.3</v>
      </c>
      <c r="L1959" s="4" t="n">
        <v>24</v>
      </c>
      <c r="M1959" s="4" t="inlineStr">
        <is>
          <t>alta</t>
        </is>
      </c>
      <c r="N1959" s="4" t="inlineStr">
        <is>
          <t>por debajo de comparables</t>
        </is>
      </c>
      <c r="O1959" s="4" t="n"/>
    </row>
    <row r="1960">
      <c r="A1960" s="4" t="inlineStr">
        <is>
          <t>MD-1574</t>
        </is>
      </c>
      <c r="B1960" s="21" t="n">
        <v>46258</v>
      </c>
      <c r="C1960" s="4" t="inlineStr">
        <is>
          <t>Latina</t>
        </is>
      </c>
      <c r="D1960" s="4" t="n">
        <v>180</v>
      </c>
      <c r="E1960" s="4" t="inlineStr">
        <is>
          <t>reformado</t>
        </is>
      </c>
      <c r="F1960" s="22" t="n">
        <v>793000</v>
      </c>
      <c r="G1960" s="23" t="n">
        <v>4405.56</v>
      </c>
      <c r="H1960" s="22" t="n"/>
      <c r="I1960" s="23" t="n"/>
      <c r="J1960" s="18" t="n"/>
      <c r="K1960" s="24" t="n"/>
      <c r="L1960" s="4" t="n">
        <v>3</v>
      </c>
      <c r="M1960" s="4" t="inlineStr">
        <is>
          <t>sin muestra</t>
        </is>
      </c>
      <c r="N1960" s="4" t="inlineStr">
        <is>
          <t>no valorable</t>
        </is>
      </c>
      <c r="O1960" s="4" t="inlineStr">
        <is>
          <t>segmento con pocas operaciones comparables</t>
        </is>
      </c>
    </row>
    <row r="1961">
      <c r="A1961" s="4" t="inlineStr">
        <is>
          <t>MD-0168</t>
        </is>
      </c>
      <c r="B1961" s="21" t="n">
        <v>46258</v>
      </c>
      <c r="C1961" s="4" t="inlineStr">
        <is>
          <t>Hortaleza</t>
        </is>
      </c>
      <c r="D1961" s="4" t="n">
        <v>105</v>
      </c>
      <c r="E1961" s="4" t="inlineStr">
        <is>
          <t>reformado</t>
        </is>
      </c>
      <c r="F1961" s="22" t="n">
        <v>823000</v>
      </c>
      <c r="G1961" s="23" t="n">
        <v>7838.1</v>
      </c>
      <c r="H1961" s="22" t="n">
        <v>560258</v>
      </c>
      <c r="I1961" s="23" t="n">
        <v>5335.79</v>
      </c>
      <c r="J1961" s="18" t="n">
        <v>0.469</v>
      </c>
      <c r="K1961" s="24" t="n">
        <v>0</v>
      </c>
      <c r="L1961" s="4" t="n">
        <v>30</v>
      </c>
      <c r="M1961" s="4" t="inlineStr">
        <is>
          <t>alta</t>
        </is>
      </c>
      <c r="N1961" s="4" t="inlineStr">
        <is>
          <t>por encima de comparables</t>
        </is>
      </c>
      <c r="O1961" s="4" t="n"/>
    </row>
    <row r="1962">
      <c r="A1962" s="4" t="inlineStr">
        <is>
          <t>MD-0915</t>
        </is>
      </c>
      <c r="B1962" s="21" t="n">
        <v>46260</v>
      </c>
      <c r="C1962" s="4" t="inlineStr">
        <is>
          <t>Retiro</t>
        </is>
      </c>
      <c r="D1962" s="4" t="n">
        <v>71</v>
      </c>
      <c r="E1962" s="4" t="inlineStr">
        <is>
          <t>reformado</t>
        </is>
      </c>
      <c r="F1962" s="22" t="n">
        <v>663000</v>
      </c>
      <c r="G1962" s="23" t="n">
        <v>9338.030000000001</v>
      </c>
      <c r="H1962" s="22" t="n">
        <v>508065</v>
      </c>
      <c r="I1962" s="23" t="n">
        <v>7155.84</v>
      </c>
      <c r="J1962" s="18" t="n">
        <v>0.305</v>
      </c>
      <c r="K1962" s="24" t="n">
        <v>0</v>
      </c>
      <c r="L1962" s="4" t="n">
        <v>9</v>
      </c>
      <c r="M1962" s="4" t="inlineStr">
        <is>
          <t>media</t>
        </is>
      </c>
      <c r="N1962" s="4" t="inlineStr">
        <is>
          <t>por encima de comparables</t>
        </is>
      </c>
      <c r="O1962" s="4" t="n"/>
    </row>
    <row r="1963">
      <c r="A1963" s="4" t="inlineStr">
        <is>
          <t>MD-0495</t>
        </is>
      </c>
      <c r="B1963" s="21" t="n">
        <v>46260</v>
      </c>
      <c r="C1963" s="4" t="inlineStr">
        <is>
          <t>Villaverde</t>
        </is>
      </c>
      <c r="D1963" s="4" t="n">
        <v>56</v>
      </c>
      <c r="E1963" s="4" t="inlineStr">
        <is>
          <t>buen estado</t>
        </is>
      </c>
      <c r="F1963" s="22" t="n">
        <v>147000</v>
      </c>
      <c r="G1963" s="23" t="n">
        <v>2625</v>
      </c>
      <c r="H1963" s="22" t="n">
        <v>135949</v>
      </c>
      <c r="I1963" s="23" t="n">
        <v>2427.66</v>
      </c>
      <c r="J1963" s="18" t="n">
        <v>0.0813</v>
      </c>
      <c r="K1963" s="24" t="n">
        <v>29.7</v>
      </c>
      <c r="L1963" s="4" t="n">
        <v>12</v>
      </c>
      <c r="M1963" s="4" t="inlineStr">
        <is>
          <t>media</t>
        </is>
      </c>
      <c r="N1963" s="4" t="inlineStr">
        <is>
          <t>en linea con comparables</t>
        </is>
      </c>
      <c r="O1963" s="4" t="n"/>
    </row>
    <row r="1964">
      <c r="A1964" s="4" t="inlineStr">
        <is>
          <t>MD-0059</t>
        </is>
      </c>
      <c r="B1964" s="21" t="n">
        <v>46260</v>
      </c>
      <c r="C1964" s="4" t="inlineStr">
        <is>
          <t>Puente de Vallecas</t>
        </is>
      </c>
      <c r="D1964" s="4" t="n">
        <v>40</v>
      </c>
      <c r="E1964" s="4" t="inlineStr">
        <is>
          <t>buen estado</t>
        </is>
      </c>
      <c r="F1964" s="22" t="n">
        <v>89000</v>
      </c>
      <c r="G1964" s="23" t="n">
        <v>2225</v>
      </c>
      <c r="H1964" s="22" t="n">
        <v>102272</v>
      </c>
      <c r="I1964" s="23" t="n">
        <v>2556.81</v>
      </c>
      <c r="J1964" s="18" t="n">
        <v>-0.1298</v>
      </c>
      <c r="K1964" s="24" t="n">
        <v>82.40000000000001</v>
      </c>
      <c r="L1964" s="4" t="n">
        <v>37</v>
      </c>
      <c r="M1964" s="4" t="inlineStr">
        <is>
          <t>alta</t>
        </is>
      </c>
      <c r="N1964" s="4" t="inlineStr">
        <is>
          <t>por debajo de comparables</t>
        </is>
      </c>
      <c r="O1964" s="4" t="n"/>
    </row>
    <row r="1965">
      <c r="A1965" s="4" t="inlineStr">
        <is>
          <t>MD-1477</t>
        </is>
      </c>
      <c r="B1965" s="21" t="n">
        <v>46260</v>
      </c>
      <c r="C1965" s="4" t="inlineStr">
        <is>
          <t>Centro</t>
        </is>
      </c>
      <c r="D1965" s="4" t="n">
        <v>78</v>
      </c>
      <c r="E1965" s="4" t="inlineStr">
        <is>
          <t>buen estado</t>
        </is>
      </c>
      <c r="F1965" s="22" t="n">
        <v>784000</v>
      </c>
      <c r="G1965" s="23" t="n">
        <v>10051.28</v>
      </c>
      <c r="H1965" s="22" t="n">
        <v>612983</v>
      </c>
      <c r="I1965" s="23" t="n">
        <v>7858.75</v>
      </c>
      <c r="J1965" s="18" t="n">
        <v>0.279</v>
      </c>
      <c r="K1965" s="24" t="n">
        <v>0</v>
      </c>
      <c r="L1965" s="4" t="n">
        <v>25</v>
      </c>
      <c r="M1965" s="4" t="inlineStr">
        <is>
          <t>media</t>
        </is>
      </c>
      <c r="N1965" s="4" t="inlineStr">
        <is>
          <t>por encima de comparables</t>
        </is>
      </c>
      <c r="O1965" s="4" t="n"/>
    </row>
    <row r="1966">
      <c r="A1966" s="4" t="inlineStr">
        <is>
          <t>MD-1386</t>
        </is>
      </c>
      <c r="B1966" s="21" t="n">
        <v>46260</v>
      </c>
      <c r="C1966" s="4" t="inlineStr">
        <is>
          <t>Fuencarral-El Pardo</t>
        </is>
      </c>
      <c r="D1966" s="4" t="n">
        <v>91</v>
      </c>
      <c r="E1966" s="4" t="inlineStr">
        <is>
          <t>a reformar</t>
        </is>
      </c>
      <c r="F1966" s="22" t="n">
        <v>501000</v>
      </c>
      <c r="G1966" s="23" t="n">
        <v>5505.49</v>
      </c>
      <c r="H1966" s="22" t="n">
        <v>438584</v>
      </c>
      <c r="I1966" s="23" t="n">
        <v>4819.61</v>
      </c>
      <c r="J1966" s="18" t="n">
        <v>0.1423</v>
      </c>
      <c r="K1966" s="24" t="n">
        <v>14.4</v>
      </c>
      <c r="L1966" s="4" t="n">
        <v>27</v>
      </c>
      <c r="M1966" s="4" t="inlineStr">
        <is>
          <t>alta</t>
        </is>
      </c>
      <c r="N1966" s="4" t="inlineStr">
        <is>
          <t>por encima de comparables</t>
        </is>
      </c>
      <c r="O1966" s="4" t="n"/>
    </row>
    <row r="1967">
      <c r="A1967" s="4" t="inlineStr">
        <is>
          <t>MD-1511</t>
        </is>
      </c>
      <c r="B1967" s="21" t="n">
        <v>46260</v>
      </c>
      <c r="C1967" s="4" t="inlineStr">
        <is>
          <t>Centro</t>
        </is>
      </c>
      <c r="D1967" s="4" t="n">
        <v>36</v>
      </c>
      <c r="E1967" s="4" t="inlineStr">
        <is>
          <t>buen estado</t>
        </is>
      </c>
      <c r="F1967" s="22" t="n">
        <v>249000</v>
      </c>
      <c r="G1967" s="23" t="n">
        <v>6916.67</v>
      </c>
      <c r="H1967" s="22" t="n">
        <v>246316</v>
      </c>
      <c r="I1967" s="23" t="n">
        <v>6842.11</v>
      </c>
      <c r="J1967" s="18" t="n">
        <v>0.0109</v>
      </c>
      <c r="K1967" s="24" t="n">
        <v>47.3</v>
      </c>
      <c r="L1967" s="4" t="n">
        <v>27</v>
      </c>
      <c r="M1967" s="4" t="inlineStr">
        <is>
          <t>alta</t>
        </is>
      </c>
      <c r="N1967" s="4" t="inlineStr">
        <is>
          <t>en linea con comparables</t>
        </is>
      </c>
      <c r="O1967" s="4" t="n"/>
    </row>
    <row r="1968">
      <c r="A1968" s="4" t="inlineStr">
        <is>
          <t>MD-0250</t>
        </is>
      </c>
      <c r="B1968" s="21" t="n">
        <v>46260</v>
      </c>
      <c r="C1968" s="4" t="inlineStr">
        <is>
          <t>Puente de Vallecas</t>
        </is>
      </c>
      <c r="D1968" s="4" t="n">
        <v>40</v>
      </c>
      <c r="E1968" s="4" t="inlineStr">
        <is>
          <t>a reformar</t>
        </is>
      </c>
      <c r="F1968" s="22" t="n">
        <v>90000</v>
      </c>
      <c r="G1968" s="23" t="n">
        <v>2250</v>
      </c>
      <c r="H1968" s="22" t="n">
        <v>96683</v>
      </c>
      <c r="I1968" s="23" t="n">
        <v>2417.09</v>
      </c>
      <c r="J1968" s="18" t="n">
        <v>-0.06909999999999999</v>
      </c>
      <c r="K1968" s="24" t="n">
        <v>67.3</v>
      </c>
      <c r="L1968" s="4" t="n">
        <v>37</v>
      </c>
      <c r="M1968" s="4" t="inlineStr">
        <is>
          <t>alta</t>
        </is>
      </c>
      <c r="N1968" s="4" t="inlineStr">
        <is>
          <t>en linea con comparables</t>
        </is>
      </c>
      <c r="O1968" s="4" t="n"/>
    </row>
    <row r="1969">
      <c r="A1969" s="4" t="inlineStr">
        <is>
          <t>MD-0268</t>
        </is>
      </c>
      <c r="B1969" s="21" t="n">
        <v>46260</v>
      </c>
      <c r="C1969" s="4" t="inlineStr">
        <is>
          <t>Tetuan</t>
        </is>
      </c>
      <c r="D1969" s="4" t="n">
        <v>89</v>
      </c>
      <c r="E1969" s="4" t="inlineStr">
        <is>
          <t>buen estado</t>
        </is>
      </c>
      <c r="F1969" s="22" t="n">
        <v>405000</v>
      </c>
      <c r="G1969" s="23" t="n">
        <v>4550.56</v>
      </c>
      <c r="H1969" s="22" t="n">
        <v>415649</v>
      </c>
      <c r="I1969" s="23" t="n">
        <v>4670.21</v>
      </c>
      <c r="J1969" s="18" t="n">
        <v>-0.0256</v>
      </c>
      <c r="K1969" s="24" t="n">
        <v>56.4</v>
      </c>
      <c r="L1969" s="4" t="n">
        <v>29</v>
      </c>
      <c r="M1969" s="4" t="inlineStr">
        <is>
          <t>media</t>
        </is>
      </c>
      <c r="N1969" s="4" t="inlineStr">
        <is>
          <t>en linea con comparables</t>
        </is>
      </c>
      <c r="O1969" s="4" t="n"/>
    </row>
    <row r="1970">
      <c r="A1970" s="4" t="inlineStr">
        <is>
          <t>MD-0997</t>
        </is>
      </c>
      <c r="B1970" s="21" t="n">
        <v>46260</v>
      </c>
      <c r="C1970" s="4" t="inlineStr">
        <is>
          <t>Arganzuela</t>
        </is>
      </c>
      <c r="D1970" s="4" t="n">
        <v>77</v>
      </c>
      <c r="E1970" s="4" t="inlineStr">
        <is>
          <t>buen estado</t>
        </is>
      </c>
      <c r="F1970" s="22" t="n">
        <v>381000</v>
      </c>
      <c r="G1970" s="23" t="n">
        <v>4948.05</v>
      </c>
      <c r="H1970" s="22" t="n">
        <v>468827</v>
      </c>
      <c r="I1970" s="23" t="n">
        <v>6088.67</v>
      </c>
      <c r="J1970" s="18" t="n">
        <v>-0.1873</v>
      </c>
      <c r="K1970" s="24" t="n">
        <v>96.8</v>
      </c>
      <c r="L1970" s="4" t="n">
        <v>24</v>
      </c>
      <c r="M1970" s="4" t="inlineStr">
        <is>
          <t>alta</t>
        </is>
      </c>
      <c r="N1970" s="4" t="inlineStr">
        <is>
          <t>por debajo de comparables</t>
        </is>
      </c>
      <c r="O1970" s="4" t="n"/>
    </row>
    <row r="1971">
      <c r="A1971" s="4" t="inlineStr">
        <is>
          <t>MD-0829</t>
        </is>
      </c>
      <c r="B1971" s="21" t="n">
        <v>46260</v>
      </c>
      <c r="C1971" s="4" t="inlineStr">
        <is>
          <t>Puente de Vallecas</t>
        </is>
      </c>
      <c r="D1971" s="4" t="n">
        <v>28</v>
      </c>
      <c r="E1971" s="4" t="inlineStr">
        <is>
          <t>buen estado</t>
        </is>
      </c>
      <c r="F1971" s="22" t="n">
        <v>62000</v>
      </c>
      <c r="G1971" s="23" t="n">
        <v>2214.29</v>
      </c>
      <c r="H1971" s="22" t="n">
        <v>73544</v>
      </c>
      <c r="I1971" s="23" t="n">
        <v>2626.58</v>
      </c>
      <c r="J1971" s="18" t="n">
        <v>-0.157</v>
      </c>
      <c r="K1971" s="24" t="n">
        <v>89.2</v>
      </c>
      <c r="L1971" s="4" t="n">
        <v>11</v>
      </c>
      <c r="M1971" s="4" t="inlineStr">
        <is>
          <t>media</t>
        </is>
      </c>
      <c r="N1971" s="4" t="inlineStr">
        <is>
          <t>por debajo de comparables</t>
        </is>
      </c>
      <c r="O1971" s="4" t="n"/>
    </row>
    <row r="1972">
      <c r="A1972" s="4" t="inlineStr">
        <is>
          <t>MD-0711</t>
        </is>
      </c>
      <c r="B1972" s="21" t="n">
        <v>46260</v>
      </c>
      <c r="C1972" s="4" t="inlineStr">
        <is>
          <t>Fuencarral-El Pardo</t>
        </is>
      </c>
      <c r="D1972" s="4" t="n">
        <v>89</v>
      </c>
      <c r="E1972" s="4" t="inlineStr">
        <is>
          <t>buen estado</t>
        </is>
      </c>
      <c r="F1972" s="22" t="n">
        <v>467000</v>
      </c>
      <c r="G1972" s="23" t="n">
        <v>5247.19</v>
      </c>
      <c r="H1972" s="22" t="n">
        <v>508101</v>
      </c>
      <c r="I1972" s="23" t="n">
        <v>5708.99</v>
      </c>
      <c r="J1972" s="18" t="n">
        <v>-0.0809</v>
      </c>
      <c r="K1972" s="24" t="n">
        <v>70.2</v>
      </c>
      <c r="L1972" s="4" t="n">
        <v>26</v>
      </c>
      <c r="M1972" s="4" t="inlineStr">
        <is>
          <t>alta</t>
        </is>
      </c>
      <c r="N1972" s="4" t="inlineStr">
        <is>
          <t>en linea con comparables</t>
        </is>
      </c>
      <c r="O1972" s="4" t="n"/>
    </row>
    <row r="1973">
      <c r="A1973" s="4" t="inlineStr">
        <is>
          <t>MD-1674</t>
        </is>
      </c>
      <c r="B1973" s="21" t="n">
        <v>46260</v>
      </c>
      <c r="C1973" s="4" t="inlineStr">
        <is>
          <t>Latina</t>
        </is>
      </c>
      <c r="D1973" s="4" t="n">
        <v>42</v>
      </c>
      <c r="E1973" s="4" t="inlineStr">
        <is>
          <t>buen estado</t>
        </is>
      </c>
      <c r="F1973" s="22" t="n">
        <v>133000</v>
      </c>
      <c r="G1973" s="23" t="n">
        <v>3166.67</v>
      </c>
      <c r="H1973" s="22" t="n">
        <v>133000</v>
      </c>
      <c r="I1973" s="23" t="n">
        <v>3166.67</v>
      </c>
      <c r="J1973" s="18" t="n">
        <v>-0</v>
      </c>
      <c r="K1973" s="24" t="n">
        <v>50</v>
      </c>
      <c r="L1973" s="4" t="n">
        <v>21</v>
      </c>
      <c r="M1973" s="4" t="inlineStr">
        <is>
          <t>alta</t>
        </is>
      </c>
      <c r="N1973" s="4" t="inlineStr">
        <is>
          <t>en linea con comparables</t>
        </is>
      </c>
      <c r="O1973" s="4" t="n"/>
    </row>
    <row r="1974">
      <c r="A1974" s="4" t="inlineStr">
        <is>
          <t>MD-1513</t>
        </is>
      </c>
      <c r="B1974" s="21" t="n">
        <v>46261</v>
      </c>
      <c r="C1974" s="4" t="inlineStr">
        <is>
          <t>Latina</t>
        </is>
      </c>
      <c r="D1974" s="4" t="n">
        <v>38</v>
      </c>
      <c r="E1974" s="4" t="inlineStr">
        <is>
          <t>buen estado</t>
        </is>
      </c>
      <c r="F1974" s="22" t="n">
        <v>131000</v>
      </c>
      <c r="G1974" s="23" t="n">
        <v>3447.37</v>
      </c>
      <c r="H1974" s="22" t="n">
        <v>132662</v>
      </c>
      <c r="I1974" s="23" t="n">
        <v>3491.1</v>
      </c>
      <c r="J1974" s="18" t="n">
        <v>-0.0125</v>
      </c>
      <c r="K1974" s="24" t="n">
        <v>53.1</v>
      </c>
      <c r="L1974" s="4" t="n">
        <v>12</v>
      </c>
      <c r="M1974" s="4" t="inlineStr">
        <is>
          <t>media</t>
        </is>
      </c>
      <c r="N1974" s="4" t="inlineStr">
        <is>
          <t>en linea con comparables</t>
        </is>
      </c>
      <c r="O1974" s="4" t="n"/>
    </row>
    <row r="1975">
      <c r="A1975" s="4" t="inlineStr">
        <is>
          <t>MD-0859</t>
        </is>
      </c>
      <c r="B1975" s="21" t="n">
        <v>46261</v>
      </c>
      <c r="C1975" s="4" t="inlineStr">
        <is>
          <t>Retiro</t>
        </is>
      </c>
      <c r="D1975" s="4" t="n">
        <v>83</v>
      </c>
      <c r="E1975" s="4" t="inlineStr">
        <is>
          <t>buen estado</t>
        </is>
      </c>
      <c r="F1975" s="22" t="n">
        <v>589000</v>
      </c>
      <c r="G1975" s="23" t="n">
        <v>7096.39</v>
      </c>
      <c r="H1975" s="22" t="n">
        <v>584152</v>
      </c>
      <c r="I1975" s="23" t="n">
        <v>7037.97</v>
      </c>
      <c r="J1975" s="18" t="n">
        <v>0.0083</v>
      </c>
      <c r="K1975" s="24" t="n">
        <v>47.9</v>
      </c>
      <c r="L1975" s="4" t="n">
        <v>13</v>
      </c>
      <c r="M1975" s="4" t="inlineStr">
        <is>
          <t>media</t>
        </is>
      </c>
      <c r="N1975" s="4" t="inlineStr">
        <is>
          <t>en linea con comparables</t>
        </is>
      </c>
      <c r="O1975" s="4" t="n"/>
    </row>
    <row r="1976">
      <c r="A1976" s="4" t="inlineStr">
        <is>
          <t>MD-1678</t>
        </is>
      </c>
      <c r="B1976" s="21" t="n">
        <v>46261</v>
      </c>
      <c r="C1976" s="4" t="inlineStr">
        <is>
          <t>Chamartin</t>
        </is>
      </c>
      <c r="D1976" s="4" t="n">
        <v>59</v>
      </c>
      <c r="E1976" s="4" t="inlineStr">
        <is>
          <t>a reformar</t>
        </is>
      </c>
      <c r="F1976" s="22" t="n">
        <v>237000</v>
      </c>
      <c r="G1976" s="23" t="n">
        <v>4016.95</v>
      </c>
      <c r="H1976" s="22" t="n">
        <v>405398</v>
      </c>
      <c r="I1976" s="23" t="n">
        <v>6871.16</v>
      </c>
      <c r="J1976" s="18" t="n">
        <v>-0.4154</v>
      </c>
      <c r="K1976" s="24" t="n">
        <v>100</v>
      </c>
      <c r="L1976" s="4" t="n">
        <v>10</v>
      </c>
      <c r="M1976" s="4" t="inlineStr">
        <is>
          <t>media</t>
        </is>
      </c>
      <c r="N1976" s="4" t="inlineStr">
        <is>
          <t>por debajo de comparables</t>
        </is>
      </c>
      <c r="O1976" s="4" t="n"/>
    </row>
    <row r="1977">
      <c r="A1977" s="4" t="inlineStr">
        <is>
          <t>MD-0791</t>
        </is>
      </c>
      <c r="B1977" s="21" t="n">
        <v>46261</v>
      </c>
      <c r="C1977" s="4" t="inlineStr">
        <is>
          <t>Retiro</t>
        </is>
      </c>
      <c r="D1977" s="4" t="n">
        <v>50</v>
      </c>
      <c r="E1977" s="4" t="inlineStr">
        <is>
          <t>reformado</t>
        </is>
      </c>
      <c r="F1977" s="22" t="n">
        <v>267000</v>
      </c>
      <c r="G1977" s="23" t="n">
        <v>5340</v>
      </c>
      <c r="H1977" s="22" t="n">
        <v>310858</v>
      </c>
      <c r="I1977" s="23" t="n">
        <v>6217.17</v>
      </c>
      <c r="J1977" s="18" t="n">
        <v>-0.1411</v>
      </c>
      <c r="K1977" s="24" t="n">
        <v>85.3</v>
      </c>
      <c r="L1977" s="4" t="n">
        <v>15</v>
      </c>
      <c r="M1977" s="4" t="inlineStr">
        <is>
          <t>alta</t>
        </is>
      </c>
      <c r="N1977" s="4" t="inlineStr">
        <is>
          <t>por debajo de comparables</t>
        </is>
      </c>
      <c r="O1977" s="4" t="n"/>
    </row>
    <row r="1978">
      <c r="A1978" s="4" t="inlineStr">
        <is>
          <t>MD-0682</t>
        </is>
      </c>
      <c r="B1978" s="21" t="n">
        <v>46261</v>
      </c>
      <c r="C1978" s="4" t="inlineStr">
        <is>
          <t>Ciudad Lineal</t>
        </is>
      </c>
      <c r="D1978" s="4" t="n">
        <v>165</v>
      </c>
      <c r="E1978" s="4" t="inlineStr">
        <is>
          <t>a reformar</t>
        </is>
      </c>
      <c r="F1978" s="22" t="n">
        <v>804000</v>
      </c>
      <c r="G1978" s="23" t="n">
        <v>4872.73</v>
      </c>
      <c r="H1978" s="22" t="n"/>
      <c r="I1978" s="23" t="n"/>
      <c r="J1978" s="18" t="n"/>
      <c r="K1978" s="24" t="n"/>
      <c r="L1978" s="4" t="n">
        <v>4</v>
      </c>
      <c r="M1978" s="4" t="inlineStr">
        <is>
          <t>sin muestra</t>
        </is>
      </c>
      <c r="N1978" s="4" t="inlineStr">
        <is>
          <t>no valorable</t>
        </is>
      </c>
      <c r="O1978" s="4" t="inlineStr">
        <is>
          <t>segmento con pocas operaciones comparables</t>
        </is>
      </c>
    </row>
    <row r="1979">
      <c r="A1979" s="4" t="inlineStr">
        <is>
          <t>MD-1406</t>
        </is>
      </c>
      <c r="B1979" s="21" t="n">
        <v>46261</v>
      </c>
      <c r="C1979" s="4" t="inlineStr">
        <is>
          <t>Vicalvaro</t>
        </is>
      </c>
      <c r="D1979" s="4" t="n">
        <v>64</v>
      </c>
      <c r="E1979" s="4" t="inlineStr">
        <is>
          <t>buen estado</t>
        </is>
      </c>
      <c r="F1979" s="22" t="n">
        <v>202000</v>
      </c>
      <c r="G1979" s="23" t="n">
        <v>3156.25</v>
      </c>
      <c r="H1979" s="22" t="n">
        <v>234006</v>
      </c>
      <c r="I1979" s="23" t="n">
        <v>3656.35</v>
      </c>
      <c r="J1979" s="18" t="n">
        <v>-0.1368</v>
      </c>
      <c r="K1979" s="24" t="n">
        <v>84.2</v>
      </c>
      <c r="L1979" s="4" t="n">
        <v>13</v>
      </c>
      <c r="M1979" s="4" t="inlineStr">
        <is>
          <t>media</t>
        </is>
      </c>
      <c r="N1979" s="4" t="inlineStr">
        <is>
          <t>por debajo de comparables</t>
        </is>
      </c>
      <c r="O1979" s="4" t="n"/>
    </row>
    <row r="1980">
      <c r="A1980" s="4" t="inlineStr">
        <is>
          <t>MD-1497</t>
        </is>
      </c>
      <c r="B1980" s="21" t="n">
        <v>46261</v>
      </c>
      <c r="C1980" s="4" t="inlineStr">
        <is>
          <t>Puente de Vallecas</t>
        </is>
      </c>
      <c r="D1980" s="4" t="n">
        <v>111</v>
      </c>
      <c r="E1980" s="4" t="inlineStr">
        <is>
          <t>reformado</t>
        </is>
      </c>
      <c r="F1980" s="22" t="n">
        <v>316000</v>
      </c>
      <c r="G1980" s="23" t="n">
        <v>2846.85</v>
      </c>
      <c r="H1980" s="22" t="n">
        <v>304900</v>
      </c>
      <c r="I1980" s="23" t="n">
        <v>2746.85</v>
      </c>
      <c r="J1980" s="18" t="n">
        <v>0.0364</v>
      </c>
      <c r="K1980" s="24" t="n">
        <v>40.9</v>
      </c>
      <c r="L1980" s="4" t="n">
        <v>13</v>
      </c>
      <c r="M1980" s="4" t="inlineStr">
        <is>
          <t>media</t>
        </is>
      </c>
      <c r="N1980" s="4" t="inlineStr">
        <is>
          <t>en linea con comparables</t>
        </is>
      </c>
      <c r="O1980" s="4" t="n"/>
    </row>
    <row r="1981">
      <c r="A1981" s="4" t="inlineStr">
        <is>
          <t>MD-1863</t>
        </is>
      </c>
      <c r="B1981" s="21" t="n">
        <v>46261</v>
      </c>
      <c r="C1981" s="4" t="inlineStr">
        <is>
          <t>Ciudad Lineal</t>
        </is>
      </c>
      <c r="D1981" s="4" t="n">
        <v>64</v>
      </c>
      <c r="E1981" s="4" t="inlineStr">
        <is>
          <t>buen estado</t>
        </is>
      </c>
      <c r="F1981" s="22" t="n">
        <v>286000</v>
      </c>
      <c r="G1981" s="23" t="n">
        <v>4468.75</v>
      </c>
      <c r="H1981" s="22" t="n">
        <v>275785</v>
      </c>
      <c r="I1981" s="23" t="n">
        <v>4309.13</v>
      </c>
      <c r="J1981" s="18" t="n">
        <v>0.037</v>
      </c>
      <c r="K1981" s="24" t="n">
        <v>40.7</v>
      </c>
      <c r="L1981" s="4" t="n">
        <v>38</v>
      </c>
      <c r="M1981" s="4" t="inlineStr">
        <is>
          <t>alta</t>
        </is>
      </c>
      <c r="N1981" s="4" t="inlineStr">
        <is>
          <t>en linea con comparables</t>
        </is>
      </c>
      <c r="O1981" s="4" t="n"/>
    </row>
    <row r="1982">
      <c r="A1982" s="4" t="inlineStr">
        <is>
          <t>MD-0347</t>
        </is>
      </c>
      <c r="B1982" s="21" t="n">
        <v>46262</v>
      </c>
      <c r="C1982" s="4" t="inlineStr">
        <is>
          <t>Hortaleza</t>
        </is>
      </c>
      <c r="D1982" s="4" t="n">
        <v>127</v>
      </c>
      <c r="E1982" s="4" t="inlineStr">
        <is>
          <t>reformado</t>
        </is>
      </c>
      <c r="F1982" s="22" t="n">
        <v>733000</v>
      </c>
      <c r="G1982" s="23" t="n">
        <v>5771.65</v>
      </c>
      <c r="H1982" s="22" t="n">
        <v>764168</v>
      </c>
      <c r="I1982" s="23" t="n">
        <v>6017.07</v>
      </c>
      <c r="J1982" s="18" t="n">
        <v>-0.0408</v>
      </c>
      <c r="K1982" s="24" t="n">
        <v>60.2</v>
      </c>
      <c r="L1982" s="4" t="n">
        <v>35</v>
      </c>
      <c r="M1982" s="4" t="inlineStr">
        <is>
          <t>alta</t>
        </is>
      </c>
      <c r="N1982" s="4" t="inlineStr">
        <is>
          <t>en linea con comparables</t>
        </is>
      </c>
      <c r="O1982" s="4" t="n"/>
    </row>
    <row r="1983">
      <c r="A1983" s="4" t="inlineStr">
        <is>
          <t>MD-0545</t>
        </is>
      </c>
      <c r="B1983" s="21" t="n">
        <v>46262</v>
      </c>
      <c r="C1983" s="4" t="inlineStr">
        <is>
          <t>Retiro</t>
        </is>
      </c>
      <c r="D1983" s="4" t="n">
        <v>188</v>
      </c>
      <c r="E1983" s="4" t="inlineStr">
        <is>
          <t>reformado</t>
        </is>
      </c>
      <c r="F1983" s="22" t="n">
        <v>1378000</v>
      </c>
      <c r="G1983" s="23" t="n">
        <v>7329.79</v>
      </c>
      <c r="H1983" s="22" t="n">
        <v>1240582</v>
      </c>
      <c r="I1983" s="23" t="n">
        <v>6598.84</v>
      </c>
      <c r="J1983" s="18" t="n">
        <v>0.1108</v>
      </c>
      <c r="K1983" s="24" t="n">
        <v>22.3</v>
      </c>
      <c r="L1983" s="4" t="n">
        <v>9</v>
      </c>
      <c r="M1983" s="4" t="inlineStr">
        <is>
          <t>media</t>
        </is>
      </c>
      <c r="N1983" s="4" t="inlineStr">
        <is>
          <t>por encima de comparables</t>
        </is>
      </c>
      <c r="O1983" s="4" t="n"/>
    </row>
    <row r="1984">
      <c r="A1984" s="4" t="inlineStr">
        <is>
          <t>MD-0936</t>
        </is>
      </c>
      <c r="B1984" s="21" t="n">
        <v>46262</v>
      </c>
      <c r="C1984" s="4" t="inlineStr">
        <is>
          <t>Chamberi</t>
        </is>
      </c>
      <c r="D1984" s="4" t="n">
        <v>186</v>
      </c>
      <c r="E1984" s="4" t="inlineStr">
        <is>
          <t>buen estado</t>
        </is>
      </c>
      <c r="F1984" s="22" t="n">
        <v>515000</v>
      </c>
      <c r="G1984" s="23" t="n">
        <v>2768.82</v>
      </c>
      <c r="H1984" s="22" t="n">
        <v>1553485</v>
      </c>
      <c r="I1984" s="23" t="n">
        <v>8352.07</v>
      </c>
      <c r="J1984" s="18" t="n">
        <v>-0.6685</v>
      </c>
      <c r="K1984" s="24" t="n">
        <v>100</v>
      </c>
      <c r="L1984" s="4" t="n">
        <v>15</v>
      </c>
      <c r="M1984" s="4" t="inlineStr">
        <is>
          <t>alta</t>
        </is>
      </c>
      <c r="N1984" s="4" t="inlineStr">
        <is>
          <t>por debajo de comparables</t>
        </is>
      </c>
      <c r="O1984" s="4" t="n"/>
    </row>
    <row r="1985">
      <c r="A1985" s="4" t="inlineStr">
        <is>
          <t>MD-1257</t>
        </is>
      </c>
      <c r="B1985" s="21" t="n">
        <v>46262</v>
      </c>
      <c r="C1985" s="4" t="inlineStr">
        <is>
          <t>Villa de Vallecas</t>
        </is>
      </c>
      <c r="D1985" s="4" t="n">
        <v>80</v>
      </c>
      <c r="E1985" s="4" t="inlineStr">
        <is>
          <t>a reformar</t>
        </is>
      </c>
      <c r="F1985" s="22" t="n">
        <v>211000</v>
      </c>
      <c r="G1985" s="23" t="n">
        <v>2637.5</v>
      </c>
      <c r="H1985" s="22" t="n">
        <v>189291</v>
      </c>
      <c r="I1985" s="23" t="n">
        <v>2366.13</v>
      </c>
      <c r="J1985" s="18" t="n">
        <v>0.1147</v>
      </c>
      <c r="K1985" s="24" t="n">
        <v>21.3</v>
      </c>
      <c r="L1985" s="4" t="n">
        <v>22</v>
      </c>
      <c r="M1985" s="4" t="inlineStr">
        <is>
          <t>alta</t>
        </is>
      </c>
      <c r="N1985" s="4" t="inlineStr">
        <is>
          <t>por encima de comparables</t>
        </is>
      </c>
      <c r="O1985" s="4" t="n"/>
    </row>
    <row r="1986">
      <c r="A1986" s="4" t="inlineStr">
        <is>
          <t>MD-0468</t>
        </is>
      </c>
      <c r="B1986" s="21" t="n">
        <v>46262</v>
      </c>
      <c r="C1986" s="4" t="inlineStr">
        <is>
          <t>Ciudad Lineal</t>
        </is>
      </c>
      <c r="D1986" s="4" t="n">
        <v>139</v>
      </c>
      <c r="E1986" s="4" t="inlineStr">
        <is>
          <t>obra nueva</t>
        </is>
      </c>
      <c r="F1986" s="22" t="n">
        <v>685000</v>
      </c>
      <c r="G1986" s="23" t="n">
        <v>4928.06</v>
      </c>
      <c r="H1986" s="22" t="n">
        <v>646673</v>
      </c>
      <c r="I1986" s="23" t="n">
        <v>4652.32</v>
      </c>
      <c r="J1986" s="18" t="n">
        <v>0.0593</v>
      </c>
      <c r="K1986" s="24" t="n">
        <v>35.2</v>
      </c>
      <c r="L1986" s="4" t="n">
        <v>5</v>
      </c>
      <c r="M1986" s="4" t="inlineStr">
        <is>
          <t>baja</t>
        </is>
      </c>
      <c r="N1986" s="4" t="inlineStr">
        <is>
          <t>en linea con comparables</t>
        </is>
      </c>
      <c r="O1986" s="4" t="n"/>
    </row>
    <row r="1987">
      <c r="A1987" s="4" t="inlineStr">
        <is>
          <t>MD-0096</t>
        </is>
      </c>
      <c r="B1987" s="21" t="n">
        <v>46262</v>
      </c>
      <c r="C1987" s="4" t="inlineStr">
        <is>
          <t>San Blas-Canillejas</t>
        </is>
      </c>
      <c r="D1987" s="4" t="n">
        <v>187</v>
      </c>
      <c r="E1987" s="4" t="inlineStr">
        <is>
          <t>a reformar</t>
        </is>
      </c>
      <c r="F1987" s="22" t="n">
        <v>629000</v>
      </c>
      <c r="G1987" s="23" t="n">
        <v>3363.64</v>
      </c>
      <c r="H1987" s="22" t="n">
        <v>471848</v>
      </c>
      <c r="I1987" s="23" t="n">
        <v>2523.25</v>
      </c>
      <c r="J1987" s="18" t="n">
        <v>0.3331</v>
      </c>
      <c r="K1987" s="24" t="n">
        <v>0</v>
      </c>
      <c r="L1987" s="4" t="n">
        <v>7</v>
      </c>
      <c r="M1987" s="4" t="inlineStr">
        <is>
          <t>baja</t>
        </is>
      </c>
      <c r="N1987" s="4" t="inlineStr">
        <is>
          <t>por encima de comparables</t>
        </is>
      </c>
      <c r="O1987" s="4" t="n"/>
    </row>
    <row r="1988">
      <c r="A1988" s="4" t="inlineStr">
        <is>
          <t>MD-1991</t>
        </is>
      </c>
      <c r="B1988" s="21" t="n">
        <v>46262</v>
      </c>
      <c r="C1988" s="4" t="inlineStr">
        <is>
          <t>Latina</t>
        </is>
      </c>
      <c r="D1988" s="4" t="n">
        <v>59</v>
      </c>
      <c r="E1988" s="4" t="inlineStr">
        <is>
          <t>buen estado</t>
        </is>
      </c>
      <c r="F1988" s="22" t="n">
        <v>182000</v>
      </c>
      <c r="G1988" s="23" t="n">
        <v>3084.75</v>
      </c>
      <c r="H1988" s="22" t="n">
        <v>166908</v>
      </c>
      <c r="I1988" s="23" t="n">
        <v>2828.96</v>
      </c>
      <c r="J1988" s="18" t="n">
        <v>0.09039999999999999</v>
      </c>
      <c r="K1988" s="24" t="n">
        <v>27.4</v>
      </c>
      <c r="L1988" s="4" t="n">
        <v>42</v>
      </c>
      <c r="M1988" s="4" t="inlineStr">
        <is>
          <t>alta</t>
        </is>
      </c>
      <c r="N1988" s="4" t="inlineStr">
        <is>
          <t>en linea con comparables</t>
        </is>
      </c>
      <c r="O1988" s="4" t="n"/>
    </row>
    <row r="1989">
      <c r="A1989" s="4" t="inlineStr">
        <is>
          <t>MD-0366</t>
        </is>
      </c>
      <c r="B1989" s="21" t="n">
        <v>46262</v>
      </c>
      <c r="C1989" s="4" t="inlineStr">
        <is>
          <t>Ciudad Lineal</t>
        </is>
      </c>
      <c r="D1989" s="4" t="n">
        <v>51</v>
      </c>
      <c r="E1989" s="4" t="inlineStr">
        <is>
          <t>obra nueva</t>
        </is>
      </c>
      <c r="F1989" s="22" t="n">
        <v>275000</v>
      </c>
      <c r="G1989" s="23" t="n">
        <v>5392.16</v>
      </c>
      <c r="H1989" s="22" t="n">
        <v>247388</v>
      </c>
      <c r="I1989" s="23" t="n">
        <v>4850.74</v>
      </c>
      <c r="J1989" s="18" t="n">
        <v>0.1116</v>
      </c>
      <c r="K1989" s="24" t="n">
        <v>22.1</v>
      </c>
      <c r="L1989" s="4" t="n">
        <v>41</v>
      </c>
      <c r="M1989" s="4" t="inlineStr">
        <is>
          <t>alta</t>
        </is>
      </c>
      <c r="N1989" s="4" t="inlineStr">
        <is>
          <t>por encima de comparables</t>
        </is>
      </c>
      <c r="O1989" s="4" t="n"/>
    </row>
    <row r="1990">
      <c r="A1990" s="4" t="inlineStr">
        <is>
          <t>MD-1639</t>
        </is>
      </c>
      <c r="B1990" s="21" t="n">
        <v>46262</v>
      </c>
      <c r="C1990" s="4" t="inlineStr">
        <is>
          <t>Centro</t>
        </is>
      </c>
      <c r="D1990" s="4" t="n">
        <v>64</v>
      </c>
      <c r="E1990" s="4" t="inlineStr">
        <is>
          <t>buen estado</t>
        </is>
      </c>
      <c r="F1990" s="22" t="n">
        <v>422000</v>
      </c>
      <c r="G1990" s="23" t="n">
        <v>6593.75</v>
      </c>
      <c r="H1990" s="22" t="n">
        <v>401726</v>
      </c>
      <c r="I1990" s="23" t="n">
        <v>6276.98</v>
      </c>
      <c r="J1990" s="18" t="n">
        <v>0.0505</v>
      </c>
      <c r="K1990" s="24" t="n">
        <v>37.4</v>
      </c>
      <c r="L1990" s="4" t="n">
        <v>23</v>
      </c>
      <c r="M1990" s="4" t="inlineStr">
        <is>
          <t>alta</t>
        </is>
      </c>
      <c r="N1990" s="4" t="inlineStr">
        <is>
          <t>en linea con comparables</t>
        </is>
      </c>
      <c r="O1990" s="4" t="n"/>
    </row>
    <row r="1991">
      <c r="A1991" s="4" t="inlineStr">
        <is>
          <t>MD-0819</t>
        </is>
      </c>
      <c r="B1991" s="21" t="n">
        <v>46263</v>
      </c>
      <c r="C1991" s="4" t="inlineStr">
        <is>
          <t>Salamanca</t>
        </is>
      </c>
      <c r="D1991" s="4" t="n">
        <v>133</v>
      </c>
      <c r="E1991" s="4" t="inlineStr">
        <is>
          <t>buen estado</t>
        </is>
      </c>
      <c r="F1991" s="22" t="n">
        <v>870000</v>
      </c>
      <c r="G1991" s="23" t="n">
        <v>6541.35</v>
      </c>
      <c r="H1991" s="22" t="n">
        <v>959422</v>
      </c>
      <c r="I1991" s="23" t="n">
        <v>7213.7</v>
      </c>
      <c r="J1991" s="18" t="n">
        <v>-0.09320000000000001</v>
      </c>
      <c r="K1991" s="24" t="n">
        <v>73.3</v>
      </c>
      <c r="L1991" s="4" t="n">
        <v>9</v>
      </c>
      <c r="M1991" s="4" t="inlineStr">
        <is>
          <t>baja</t>
        </is>
      </c>
      <c r="N1991" s="4" t="inlineStr">
        <is>
          <t>en linea con comparables</t>
        </is>
      </c>
      <c r="O1991" s="4" t="n"/>
    </row>
    <row r="1992">
      <c r="A1992" s="4" t="inlineStr">
        <is>
          <t>MD-1036</t>
        </is>
      </c>
      <c r="B1992" s="21" t="n">
        <v>46263</v>
      </c>
      <c r="C1992" s="4" t="inlineStr">
        <is>
          <t>Carabanchel</t>
        </is>
      </c>
      <c r="D1992" s="4" t="n">
        <v>39</v>
      </c>
      <c r="E1992" s="4" t="inlineStr">
        <is>
          <t>obra nueva</t>
        </is>
      </c>
      <c r="F1992" s="22" t="n">
        <v>157000</v>
      </c>
      <c r="G1992" s="23" t="n">
        <v>4025.64</v>
      </c>
      <c r="H1992" s="22" t="n">
        <v>150550</v>
      </c>
      <c r="I1992" s="23" t="n">
        <v>3860.25</v>
      </c>
      <c r="J1992" s="18" t="n">
        <v>0.0428</v>
      </c>
      <c r="K1992" s="24" t="n">
        <v>39.3</v>
      </c>
      <c r="L1992" s="4" t="n">
        <v>11</v>
      </c>
      <c r="M1992" s="4" t="inlineStr">
        <is>
          <t>media</t>
        </is>
      </c>
      <c r="N1992" s="4" t="inlineStr">
        <is>
          <t>en linea con comparables</t>
        </is>
      </c>
      <c r="O1992" s="4" t="n"/>
    </row>
    <row r="1993">
      <c r="A1993" s="4" t="inlineStr">
        <is>
          <t>MD-0575</t>
        </is>
      </c>
      <c r="B1993" s="21" t="n">
        <v>46263</v>
      </c>
      <c r="C1993" s="4" t="inlineStr">
        <is>
          <t>Hortaleza</t>
        </is>
      </c>
      <c r="D1993" s="4" t="n">
        <v>93</v>
      </c>
      <c r="E1993" s="4" t="inlineStr">
        <is>
          <t>reformado</t>
        </is>
      </c>
      <c r="F1993" s="22" t="n">
        <v>566000</v>
      </c>
      <c r="G1993" s="23" t="n">
        <v>6086.02</v>
      </c>
      <c r="H1993" s="22" t="n">
        <v>491946</v>
      </c>
      <c r="I1993" s="23" t="n">
        <v>5289.74</v>
      </c>
      <c r="J1993" s="18" t="n">
        <v>0.1505</v>
      </c>
      <c r="K1993" s="24" t="n">
        <v>12.4</v>
      </c>
      <c r="L1993" s="4" t="n">
        <v>32</v>
      </c>
      <c r="M1993" s="4" t="inlineStr">
        <is>
          <t>media</t>
        </is>
      </c>
      <c r="N1993" s="4" t="inlineStr">
        <is>
          <t>por encima de comparables</t>
        </is>
      </c>
      <c r="O1993" s="4" t="n"/>
    </row>
    <row r="1994">
      <c r="A1994" s="4" t="inlineStr">
        <is>
          <t>MD-1167</t>
        </is>
      </c>
      <c r="B1994" s="21" t="n">
        <v>46263</v>
      </c>
      <c r="C1994" s="4" t="inlineStr">
        <is>
          <t>Villa de Vallecas</t>
        </is>
      </c>
      <c r="D1994" s="4" t="n">
        <v>50</v>
      </c>
      <c r="E1994" s="4" t="inlineStr">
        <is>
          <t>reformado</t>
        </is>
      </c>
      <c r="F1994" s="22" t="n">
        <v>174000</v>
      </c>
      <c r="G1994" s="23" t="n">
        <v>3480</v>
      </c>
      <c r="H1994" s="22" t="n">
        <v>235934</v>
      </c>
      <c r="I1994" s="23" t="n">
        <v>4718.68</v>
      </c>
      <c r="J1994" s="18" t="n">
        <v>-0.2625</v>
      </c>
      <c r="K1994" s="24" t="n">
        <v>100</v>
      </c>
      <c r="L1994" s="4" t="n">
        <v>11</v>
      </c>
      <c r="M1994" s="4" t="inlineStr">
        <is>
          <t>media</t>
        </is>
      </c>
      <c r="N1994" s="4" t="inlineStr">
        <is>
          <t>por debajo de comparables</t>
        </is>
      </c>
      <c r="O1994" s="4" t="n"/>
    </row>
    <row r="1995">
      <c r="A1995" s="4" t="inlineStr">
        <is>
          <t>MD-1326</t>
        </is>
      </c>
      <c r="B1995" s="21" t="n">
        <v>46263</v>
      </c>
      <c r="C1995" s="4" t="inlineStr">
        <is>
          <t>Salamanca</t>
        </is>
      </c>
      <c r="D1995" s="4" t="n">
        <v>61</v>
      </c>
      <c r="E1995" s="4" t="inlineStr">
        <is>
          <t>obra nueva</t>
        </is>
      </c>
      <c r="F1995" s="22" t="n">
        <v>530000</v>
      </c>
      <c r="G1995" s="23" t="n">
        <v>8688.52</v>
      </c>
      <c r="H1995" s="22" t="n">
        <v>668964</v>
      </c>
      <c r="I1995" s="23" t="n">
        <v>10966.62</v>
      </c>
      <c r="J1995" s="18" t="n">
        <v>-0.2077</v>
      </c>
      <c r="K1995" s="24" t="n">
        <v>100</v>
      </c>
      <c r="L1995" s="4" t="n">
        <v>21</v>
      </c>
      <c r="M1995" s="4" t="inlineStr">
        <is>
          <t>alta</t>
        </is>
      </c>
      <c r="N1995" s="4" t="inlineStr">
        <is>
          <t>por debajo de comparables</t>
        </is>
      </c>
      <c r="O1995" s="4" t="n"/>
    </row>
    <row r="1996">
      <c r="A1996" s="4" t="inlineStr">
        <is>
          <t>MD-0978</t>
        </is>
      </c>
      <c r="B1996" s="21" t="n">
        <v>46264</v>
      </c>
      <c r="C1996" s="4" t="inlineStr">
        <is>
          <t>Centro</t>
        </is>
      </c>
      <c r="D1996" s="4" t="n">
        <v>79</v>
      </c>
      <c r="E1996" s="4" t="inlineStr">
        <is>
          <t>buen estado</t>
        </is>
      </c>
      <c r="F1996" s="22" t="n">
        <v>785000</v>
      </c>
      <c r="G1996" s="23" t="n">
        <v>9936.709999999999</v>
      </c>
      <c r="H1996" s="22" t="n">
        <v>550464</v>
      </c>
      <c r="I1996" s="23" t="n">
        <v>6967.89</v>
      </c>
      <c r="J1996" s="18" t="n">
        <v>0.4261</v>
      </c>
      <c r="K1996" s="24" t="n">
        <v>0</v>
      </c>
      <c r="L1996" s="4" t="n">
        <v>26</v>
      </c>
      <c r="M1996" s="4" t="inlineStr">
        <is>
          <t>media</t>
        </is>
      </c>
      <c r="N1996" s="4" t="inlineStr">
        <is>
          <t>por encima de comparables</t>
        </is>
      </c>
      <c r="O1996" s="4" t="n"/>
    </row>
    <row r="1997">
      <c r="A1997" s="4" t="inlineStr">
        <is>
          <t>MD-0249</t>
        </is>
      </c>
      <c r="B1997" s="21" t="n">
        <v>46264</v>
      </c>
      <c r="C1997" s="4" t="inlineStr">
        <is>
          <t>Moratalaz</t>
        </is>
      </c>
      <c r="D1997" s="4" t="n">
        <v>108</v>
      </c>
      <c r="E1997" s="4" t="inlineStr">
        <is>
          <t>obra nueva</t>
        </is>
      </c>
      <c r="F1997" s="22" t="n">
        <v>502000</v>
      </c>
      <c r="G1997" s="23" t="n">
        <v>4648.15</v>
      </c>
      <c r="H1997" s="22" t="n">
        <v>488358</v>
      </c>
      <c r="I1997" s="23" t="n">
        <v>4521.83</v>
      </c>
      <c r="J1997" s="18" t="n">
        <v>0.0279</v>
      </c>
      <c r="K1997" s="24" t="n">
        <v>43</v>
      </c>
      <c r="L1997" s="4" t="n">
        <v>12</v>
      </c>
      <c r="M1997" s="4" t="inlineStr">
        <is>
          <t>media</t>
        </is>
      </c>
      <c r="N1997" s="4" t="inlineStr">
        <is>
          <t>en linea con comparables</t>
        </is>
      </c>
      <c r="O1997" s="4" t="n"/>
    </row>
  </sheetData>
  <autoFilter ref="A1:O199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18" customWidth="1" min="4" max="4"/>
    <col width="26" customWidth="1" min="5" max="5"/>
    <col width="28" customWidth="1" min="6" max="6"/>
  </cols>
  <sheetData>
    <row r="1" ht="22" customHeight="1">
      <c r="A1" s="1" t="inlineStr">
        <is>
          <t>Resumen por distrito</t>
        </is>
      </c>
    </row>
    <row r="3" ht="30" customHeight="1">
      <c r="A3" s="3" t="inlineStr">
        <is>
          <t>Distrito</t>
        </is>
      </c>
      <c r="B3" s="3" t="inlineStr">
        <is>
          <t>Inmuebles</t>
        </is>
      </c>
      <c r="C3" s="3" t="inlineStr">
        <is>
          <t>€/m² pedido (media)</t>
        </is>
      </c>
      <c r="D3" s="3" t="inlineStr">
        <is>
          <t>Desviación media</t>
        </is>
      </c>
      <c r="E3" s="3" t="inlineStr">
        <is>
          <t>Por debajo de comparables</t>
        </is>
      </c>
      <c r="F3" s="3" t="inlineStr">
        <is>
          <t>Referencia oficial 2022 (€/m²)</t>
        </is>
      </c>
    </row>
    <row r="4">
      <c r="A4" s="4" t="inlineStr">
        <is>
          <t>Arganzuela</t>
        </is>
      </c>
      <c r="B4" s="17">
        <f>COUNTIF(Valoraciones!$C$2:$C$1997,$A4)</f>
        <v/>
      </c>
      <c r="C4" s="23">
        <f>IFERROR(AVERAGEIF(Valoraciones!$C$2:$C$1997,$A4,Valoraciones!$G$2:$G$1997),"")</f>
        <v/>
      </c>
      <c r="D4" s="18">
        <f>IFERROR(AVERAGEIF(Valoraciones!$C$2:$C$1997,$A4,Valoraciones!$J$2:$J$1997),"")</f>
        <v/>
      </c>
      <c r="E4" s="17">
        <f>COUNTIFS(Valoraciones!$C$2:$C$1997,$A4,Valoraciones!$N$2:$N$1997,"por debajo de comparables")</f>
        <v/>
      </c>
      <c r="F4" s="23" t="n">
        <v>4489.71</v>
      </c>
    </row>
    <row r="5">
      <c r="A5" s="4" t="inlineStr">
        <is>
          <t>Barajas</t>
        </is>
      </c>
      <c r="B5" s="17">
        <f>COUNTIF(Valoraciones!$C$2:$C$1997,$A5)</f>
        <v/>
      </c>
      <c r="C5" s="23">
        <f>IFERROR(AVERAGEIF(Valoraciones!$C$2:$C$1997,$A5,Valoraciones!$G$2:$G$1997),"")</f>
        <v/>
      </c>
      <c r="D5" s="18">
        <f>IFERROR(AVERAGEIF(Valoraciones!$C$2:$C$1997,$A5,Valoraciones!$J$2:$J$1997),"")</f>
        <v/>
      </c>
      <c r="E5" s="17">
        <f>COUNTIFS(Valoraciones!$C$2:$C$1997,$A5,Valoraciones!$N$2:$N$1997,"por debajo de comparables")</f>
        <v/>
      </c>
      <c r="F5" s="23" t="n">
        <v>3445.86</v>
      </c>
    </row>
    <row r="6">
      <c r="A6" s="4" t="inlineStr">
        <is>
          <t>Carabanchel</t>
        </is>
      </c>
      <c r="B6" s="17">
        <f>COUNTIF(Valoraciones!$C$2:$C$1997,$A6)</f>
        <v/>
      </c>
      <c r="C6" s="23">
        <f>IFERROR(AVERAGEIF(Valoraciones!$C$2:$C$1997,$A6,Valoraciones!$G$2:$G$1997),"")</f>
        <v/>
      </c>
      <c r="D6" s="18">
        <f>IFERROR(AVERAGEIF(Valoraciones!$C$2:$C$1997,$A6,Valoraciones!$J$2:$J$1997),"")</f>
        <v/>
      </c>
      <c r="E6" s="17">
        <f>COUNTIFS(Valoraciones!$C$2:$C$1997,$A6,Valoraciones!$N$2:$N$1997,"por debajo de comparables")</f>
        <v/>
      </c>
      <c r="F6" s="23" t="n">
        <v>2454.64</v>
      </c>
    </row>
    <row r="7">
      <c r="A7" s="4" t="inlineStr">
        <is>
          <t>Centro</t>
        </is>
      </c>
      <c r="B7" s="17">
        <f>COUNTIF(Valoraciones!$C$2:$C$1997,$A7)</f>
        <v/>
      </c>
      <c r="C7" s="23">
        <f>IFERROR(AVERAGEIF(Valoraciones!$C$2:$C$1997,$A7,Valoraciones!$G$2:$G$1997),"")</f>
        <v/>
      </c>
      <c r="D7" s="18">
        <f>IFERROR(AVERAGEIF(Valoraciones!$C$2:$C$1997,$A7,Valoraciones!$J$2:$J$1997),"")</f>
        <v/>
      </c>
      <c r="E7" s="17">
        <f>COUNTIFS(Valoraciones!$C$2:$C$1997,$A7,Valoraciones!$N$2:$N$1997,"por debajo de comparables")</f>
        <v/>
      </c>
      <c r="F7" s="23" t="n">
        <v>5466.32</v>
      </c>
    </row>
    <row r="8">
      <c r="A8" s="4" t="inlineStr">
        <is>
          <t>Chamartin</t>
        </is>
      </c>
      <c r="B8" s="17">
        <f>COUNTIF(Valoraciones!$C$2:$C$1997,$A8)</f>
        <v/>
      </c>
      <c r="C8" s="23">
        <f>IFERROR(AVERAGEIF(Valoraciones!$C$2:$C$1997,$A8,Valoraciones!$G$2:$G$1997),"")</f>
        <v/>
      </c>
      <c r="D8" s="18">
        <f>IFERROR(AVERAGEIF(Valoraciones!$C$2:$C$1997,$A8,Valoraciones!$J$2:$J$1997),"")</f>
        <v/>
      </c>
      <c r="E8" s="17">
        <f>COUNTIFS(Valoraciones!$C$2:$C$1997,$A8,Valoraciones!$N$2:$N$1997,"por debajo de comparables")</f>
        <v/>
      </c>
      <c r="F8" s="23" t="n">
        <v>5616.88</v>
      </c>
    </row>
    <row r="9">
      <c r="A9" s="4" t="inlineStr">
        <is>
          <t>Chamberi</t>
        </is>
      </c>
      <c r="B9" s="17">
        <f>COUNTIF(Valoraciones!$C$2:$C$1997,$A9)</f>
        <v/>
      </c>
      <c r="C9" s="23">
        <f>IFERROR(AVERAGEIF(Valoraciones!$C$2:$C$1997,$A9,Valoraciones!$G$2:$G$1997),"")</f>
        <v/>
      </c>
      <c r="D9" s="18">
        <f>IFERROR(AVERAGEIF(Valoraciones!$C$2:$C$1997,$A9,Valoraciones!$J$2:$J$1997),"")</f>
        <v/>
      </c>
      <c r="E9" s="17">
        <f>COUNTIFS(Valoraciones!$C$2:$C$1997,$A9,Valoraciones!$N$2:$N$1997,"por debajo de comparables")</f>
        <v/>
      </c>
      <c r="F9" s="23" t="n">
        <v>6188.49</v>
      </c>
    </row>
    <row r="10">
      <c r="A10" s="4" t="inlineStr">
        <is>
          <t>Ciudad Lineal</t>
        </is>
      </c>
      <c r="B10" s="17">
        <f>COUNTIF(Valoraciones!$C$2:$C$1997,$A10)</f>
        <v/>
      </c>
      <c r="C10" s="23">
        <f>IFERROR(AVERAGEIF(Valoraciones!$C$2:$C$1997,$A10,Valoraciones!$G$2:$G$1997),"")</f>
        <v/>
      </c>
      <c r="D10" s="18">
        <f>IFERROR(AVERAGEIF(Valoraciones!$C$2:$C$1997,$A10,Valoraciones!$J$2:$J$1997),"")</f>
        <v/>
      </c>
      <c r="E10" s="17">
        <f>COUNTIFS(Valoraciones!$C$2:$C$1997,$A10,Valoraciones!$N$2:$N$1997,"por debajo de comparables")</f>
        <v/>
      </c>
      <c r="F10" s="23" t="n">
        <v>3511.66</v>
      </c>
    </row>
    <row r="11">
      <c r="A11" s="4" t="inlineStr">
        <is>
          <t>Fuencarral-El Pardo</t>
        </is>
      </c>
      <c r="B11" s="17">
        <f>COUNTIF(Valoraciones!$C$2:$C$1997,$A11)</f>
        <v/>
      </c>
      <c r="C11" s="23">
        <f>IFERROR(AVERAGEIF(Valoraciones!$C$2:$C$1997,$A11,Valoraciones!$G$2:$G$1997),"")</f>
        <v/>
      </c>
      <c r="D11" s="18">
        <f>IFERROR(AVERAGEIF(Valoraciones!$C$2:$C$1997,$A11,Valoraciones!$J$2:$J$1997),"")</f>
        <v/>
      </c>
      <c r="E11" s="17">
        <f>COUNTIFS(Valoraciones!$C$2:$C$1997,$A11,Valoraciones!$N$2:$N$1997,"por debajo de comparables")</f>
        <v/>
      </c>
      <c r="F11" s="23" t="n">
        <v>4054.52</v>
      </c>
    </row>
    <row r="12">
      <c r="A12" s="4" t="inlineStr">
        <is>
          <t>Hortaleza</t>
        </is>
      </c>
      <c r="B12" s="17">
        <f>COUNTIF(Valoraciones!$C$2:$C$1997,$A12)</f>
        <v/>
      </c>
      <c r="C12" s="23">
        <f>IFERROR(AVERAGEIF(Valoraciones!$C$2:$C$1997,$A12,Valoraciones!$G$2:$G$1997),"")</f>
        <v/>
      </c>
      <c r="D12" s="18">
        <f>IFERROR(AVERAGEIF(Valoraciones!$C$2:$C$1997,$A12,Valoraciones!$J$2:$J$1997),"")</f>
        <v/>
      </c>
      <c r="E12" s="17">
        <f>COUNTIFS(Valoraciones!$C$2:$C$1997,$A12,Valoraciones!$N$2:$N$1997,"por debajo de comparables")</f>
        <v/>
      </c>
      <c r="F12" s="23" t="n">
        <v>3920.2</v>
      </c>
    </row>
    <row r="13">
      <c r="A13" s="4" t="inlineStr">
        <is>
          <t>Latina</t>
        </is>
      </c>
      <c r="B13" s="17">
        <f>COUNTIF(Valoraciones!$C$2:$C$1997,$A13)</f>
        <v/>
      </c>
      <c r="C13" s="23">
        <f>IFERROR(AVERAGEIF(Valoraciones!$C$2:$C$1997,$A13,Valoraciones!$G$2:$G$1997),"")</f>
        <v/>
      </c>
      <c r="D13" s="18">
        <f>IFERROR(AVERAGEIF(Valoraciones!$C$2:$C$1997,$A13,Valoraciones!$J$2:$J$1997),"")</f>
        <v/>
      </c>
      <c r="E13" s="17">
        <f>COUNTIFS(Valoraciones!$C$2:$C$1997,$A13,Valoraciones!$N$2:$N$1997,"por debajo de comparables")</f>
        <v/>
      </c>
      <c r="F13" s="23" t="n">
        <v>2507.78</v>
      </c>
    </row>
    <row r="14">
      <c r="A14" s="4" t="inlineStr">
        <is>
          <t>Moncloa-Aravaca</t>
        </is>
      </c>
      <c r="B14" s="17">
        <f>COUNTIF(Valoraciones!$C$2:$C$1997,$A14)</f>
        <v/>
      </c>
      <c r="C14" s="23">
        <f>IFERROR(AVERAGEIF(Valoraciones!$C$2:$C$1997,$A14,Valoraciones!$G$2:$G$1997),"")</f>
        <v/>
      </c>
      <c r="D14" s="18">
        <f>IFERROR(AVERAGEIF(Valoraciones!$C$2:$C$1997,$A14,Valoraciones!$J$2:$J$1997),"")</f>
        <v/>
      </c>
      <c r="E14" s="17">
        <f>COUNTIFS(Valoraciones!$C$2:$C$1997,$A14,Valoraciones!$N$2:$N$1997,"por debajo de comparables")</f>
        <v/>
      </c>
      <c r="F14" s="23" t="n">
        <v>4512.62</v>
      </c>
    </row>
    <row r="15">
      <c r="A15" s="4" t="inlineStr">
        <is>
          <t>Moratalaz</t>
        </is>
      </c>
      <c r="B15" s="17">
        <f>COUNTIF(Valoraciones!$C$2:$C$1997,$A15)</f>
        <v/>
      </c>
      <c r="C15" s="23">
        <f>IFERROR(AVERAGEIF(Valoraciones!$C$2:$C$1997,$A15,Valoraciones!$G$2:$G$1997),"")</f>
        <v/>
      </c>
      <c r="D15" s="18">
        <f>IFERROR(AVERAGEIF(Valoraciones!$C$2:$C$1997,$A15,Valoraciones!$J$2:$J$1997),"")</f>
        <v/>
      </c>
      <c r="E15" s="17">
        <f>COUNTIFS(Valoraciones!$C$2:$C$1997,$A15,Valoraciones!$N$2:$N$1997,"por debajo de comparables")</f>
        <v/>
      </c>
      <c r="F15" s="23" t="n">
        <v>2767.3</v>
      </c>
    </row>
    <row r="16">
      <c r="A16" s="4" t="inlineStr">
        <is>
          <t>Puente de Vallecas</t>
        </is>
      </c>
      <c r="B16" s="17">
        <f>COUNTIF(Valoraciones!$C$2:$C$1997,$A16)</f>
        <v/>
      </c>
      <c r="C16" s="23">
        <f>IFERROR(AVERAGEIF(Valoraciones!$C$2:$C$1997,$A16,Valoraciones!$G$2:$G$1997),"")</f>
        <v/>
      </c>
      <c r="D16" s="18">
        <f>IFERROR(AVERAGEIF(Valoraciones!$C$2:$C$1997,$A16,Valoraciones!$J$2:$J$1997),"")</f>
        <v/>
      </c>
      <c r="E16" s="17">
        <f>COUNTIFS(Valoraciones!$C$2:$C$1997,$A16,Valoraciones!$N$2:$N$1997,"por debajo de comparables")</f>
        <v/>
      </c>
      <c r="F16" s="23" t="n">
        <v>2110.69</v>
      </c>
    </row>
    <row r="17">
      <c r="A17" s="4" t="inlineStr">
        <is>
          <t>Retiro</t>
        </is>
      </c>
      <c r="B17" s="17">
        <f>COUNTIF(Valoraciones!$C$2:$C$1997,$A17)</f>
        <v/>
      </c>
      <c r="C17" s="23">
        <f>IFERROR(AVERAGEIF(Valoraciones!$C$2:$C$1997,$A17,Valoraciones!$G$2:$G$1997),"")</f>
        <v/>
      </c>
      <c r="D17" s="18">
        <f>IFERROR(AVERAGEIF(Valoraciones!$C$2:$C$1997,$A17,Valoraciones!$J$2:$J$1997),"")</f>
        <v/>
      </c>
      <c r="E17" s="17">
        <f>COUNTIFS(Valoraciones!$C$2:$C$1997,$A17,Valoraciones!$N$2:$N$1997,"por debajo de comparables")</f>
        <v/>
      </c>
      <c r="F17" s="23" t="n">
        <v>5284.27</v>
      </c>
    </row>
    <row r="18">
      <c r="A18" s="4" t="inlineStr">
        <is>
          <t>Salamanca</t>
        </is>
      </c>
      <c r="B18" s="17">
        <f>COUNTIF(Valoraciones!$C$2:$C$1997,$A18)</f>
        <v/>
      </c>
      <c r="C18" s="23">
        <f>IFERROR(AVERAGEIF(Valoraciones!$C$2:$C$1997,$A18,Valoraciones!$G$2:$G$1997),"")</f>
        <v/>
      </c>
      <c r="D18" s="18">
        <f>IFERROR(AVERAGEIF(Valoraciones!$C$2:$C$1997,$A18,Valoraciones!$J$2:$J$1997),"")</f>
        <v/>
      </c>
      <c r="E18" s="17">
        <f>COUNTIFS(Valoraciones!$C$2:$C$1997,$A18,Valoraciones!$N$2:$N$1997,"por debajo de comparables")</f>
        <v/>
      </c>
      <c r="F18" s="23" t="n">
        <v>6496.29</v>
      </c>
    </row>
    <row r="19">
      <c r="A19" s="4" t="inlineStr">
        <is>
          <t>San Blas-Canillejas</t>
        </is>
      </c>
      <c r="B19" s="17">
        <f>COUNTIF(Valoraciones!$C$2:$C$1997,$A19)</f>
        <v/>
      </c>
      <c r="C19" s="23">
        <f>IFERROR(AVERAGEIF(Valoraciones!$C$2:$C$1997,$A19,Valoraciones!$G$2:$G$1997),"")</f>
        <v/>
      </c>
      <c r="D19" s="18">
        <f>IFERROR(AVERAGEIF(Valoraciones!$C$2:$C$1997,$A19,Valoraciones!$J$2:$J$1997),"")</f>
        <v/>
      </c>
      <c r="E19" s="17">
        <f>COUNTIFS(Valoraciones!$C$2:$C$1997,$A19,Valoraciones!$N$2:$N$1997,"por debajo de comparables")</f>
        <v/>
      </c>
      <c r="F19" s="23" t="n">
        <v>2739.57</v>
      </c>
    </row>
    <row r="20">
      <c r="A20" s="4" t="inlineStr">
        <is>
          <t>Tetuan</t>
        </is>
      </c>
      <c r="B20" s="17">
        <f>COUNTIF(Valoraciones!$C$2:$C$1997,$A20)</f>
        <v/>
      </c>
      <c r="C20" s="23">
        <f>IFERROR(AVERAGEIF(Valoraciones!$C$2:$C$1997,$A20,Valoraciones!$G$2:$G$1997),"")</f>
        <v/>
      </c>
      <c r="D20" s="18">
        <f>IFERROR(AVERAGEIF(Valoraciones!$C$2:$C$1997,$A20,Valoraciones!$J$2:$J$1997),"")</f>
        <v/>
      </c>
      <c r="E20" s="17">
        <f>COUNTIFS(Valoraciones!$C$2:$C$1997,$A20,Valoraciones!$N$2:$N$1997,"por debajo de comparables")</f>
        <v/>
      </c>
      <c r="F20" s="23" t="n">
        <v>3955.42</v>
      </c>
    </row>
    <row r="21">
      <c r="A21" s="4" t="inlineStr">
        <is>
          <t>Usera</t>
        </is>
      </c>
      <c r="B21" s="17">
        <f>COUNTIF(Valoraciones!$C$2:$C$1997,$A21)</f>
        <v/>
      </c>
      <c r="C21" s="23">
        <f>IFERROR(AVERAGEIF(Valoraciones!$C$2:$C$1997,$A21,Valoraciones!$G$2:$G$1997),"")</f>
        <v/>
      </c>
      <c r="D21" s="18">
        <f>IFERROR(AVERAGEIF(Valoraciones!$C$2:$C$1997,$A21,Valoraciones!$J$2:$J$1997),"")</f>
        <v/>
      </c>
      <c r="E21" s="17">
        <f>COUNTIFS(Valoraciones!$C$2:$C$1997,$A21,Valoraciones!$N$2:$N$1997,"por debajo de comparables")</f>
        <v/>
      </c>
      <c r="F21" s="23" t="n">
        <v>2183.17</v>
      </c>
    </row>
    <row r="22">
      <c r="A22" s="4" t="inlineStr">
        <is>
          <t>Vicalvaro</t>
        </is>
      </c>
      <c r="B22" s="17">
        <f>COUNTIF(Valoraciones!$C$2:$C$1997,$A22)</f>
        <v/>
      </c>
      <c r="C22" s="23">
        <f>IFERROR(AVERAGEIF(Valoraciones!$C$2:$C$1997,$A22,Valoraciones!$G$2:$G$1997),"")</f>
        <v/>
      </c>
      <c r="D22" s="18">
        <f>IFERROR(AVERAGEIF(Valoraciones!$C$2:$C$1997,$A22,Valoraciones!$J$2:$J$1997),"")</f>
        <v/>
      </c>
      <c r="E22" s="17">
        <f>COUNTIFS(Valoraciones!$C$2:$C$1997,$A22,Valoraciones!$N$2:$N$1997,"por debajo de comparables")</f>
        <v/>
      </c>
      <c r="F22" s="23" t="n">
        <v>2604.57</v>
      </c>
    </row>
    <row r="23">
      <c r="A23" s="4" t="inlineStr">
        <is>
          <t>Villa de Vallecas</t>
        </is>
      </c>
      <c r="B23" s="17">
        <f>COUNTIF(Valoraciones!$C$2:$C$1997,$A23)</f>
        <v/>
      </c>
      <c r="C23" s="23">
        <f>IFERROR(AVERAGEIF(Valoraciones!$C$2:$C$1997,$A23,Valoraciones!$G$2:$G$1997),"")</f>
        <v/>
      </c>
      <c r="D23" s="18">
        <f>IFERROR(AVERAGEIF(Valoraciones!$C$2:$C$1997,$A23,Valoraciones!$J$2:$J$1997),"")</f>
        <v/>
      </c>
      <c r="E23" s="17">
        <f>COUNTIFS(Valoraciones!$C$2:$C$1997,$A23,Valoraciones!$N$2:$N$1997,"por debajo de comparables")</f>
        <v/>
      </c>
      <c r="F23" s="23" t="n">
        <v>2628.55</v>
      </c>
    </row>
    <row r="24">
      <c r="A24" s="4" t="inlineStr">
        <is>
          <t>Villaverde</t>
        </is>
      </c>
      <c r="B24" s="17">
        <f>COUNTIF(Valoraciones!$C$2:$C$1997,$A24)</f>
        <v/>
      </c>
      <c r="C24" s="23">
        <f>IFERROR(AVERAGEIF(Valoraciones!$C$2:$C$1997,$A24,Valoraciones!$G$2:$G$1997),"")</f>
        <v/>
      </c>
      <c r="D24" s="18">
        <f>IFERROR(AVERAGEIF(Valoraciones!$C$2:$C$1997,$A24,Valoraciones!$J$2:$J$1997),"")</f>
        <v/>
      </c>
      <c r="E24" s="17">
        <f>COUNTIFS(Valoraciones!$C$2:$C$1997,$A24,Valoraciones!$N$2:$N$1997,"por debajo de comparables")</f>
        <v/>
      </c>
      <c r="F24" s="23" t="n">
        <v>1830.26</v>
      </c>
    </row>
    <row r="26" ht="45" customHeight="1">
      <c r="A26" s="16" t="inlineStr">
        <is>
          <t>La columna de referencia oficial es el precio medio declarado en escritura en 2022 (Colegio de Registradores, vía Ayuntamiento de Madrid). No es comparable directamente con el €/m² pedido: uno es precio de cierre y el otro precio de oferta, y median cuatro años.</t>
        </is>
      </c>
    </row>
  </sheetData>
  <mergeCells count="2">
    <mergeCell ref="A26:F26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34" customWidth="1" min="4" max="4"/>
  </cols>
  <sheetData>
    <row r="1" ht="22" customHeight="1">
      <c r="A1" s="1" t="inlineStr">
        <is>
          <t>Qué pasa al mover el umbral de aviso</t>
        </is>
      </c>
    </row>
    <row r="2">
      <c r="A2" s="2" t="inlineStr">
        <is>
          <t>No hay un umbral correcto. Cuanto más exigente, más limpia es la lista de avisos y más oportunidades se escapan. La decisión es de negocio: cuántas visitas en falso se pueden asumir.</t>
        </is>
      </c>
    </row>
    <row r="4" ht="30" customHeight="1">
      <c r="A4" s="3" t="inlineStr">
        <is>
          <t>Umbral de desviación</t>
        </is>
      </c>
      <c r="B4" s="3" t="inlineStr">
        <is>
          <t>Inmuebles marcados</t>
        </is>
      </c>
      <c r="C4" s="3" t="inlineStr">
        <is>
          <t>Precisión</t>
        </is>
      </c>
      <c r="D4" s="3" t="inlineStr">
        <is>
          <t>Cobertura de los infraprecios reales</t>
        </is>
      </c>
    </row>
    <row r="5">
      <c r="A5" s="18" t="n">
        <v>-0.05</v>
      </c>
      <c r="B5" s="17" t="n">
        <v>564</v>
      </c>
      <c r="C5" s="18" t="n">
        <v>0.1791</v>
      </c>
      <c r="D5" s="18" t="n">
        <v>0.886</v>
      </c>
    </row>
    <row r="6">
      <c r="A6" s="18" t="n">
        <v>-0.1</v>
      </c>
      <c r="B6" s="17" t="n">
        <v>391</v>
      </c>
      <c r="C6" s="18" t="n">
        <v>0.2379</v>
      </c>
      <c r="D6" s="18" t="n">
        <v>0.8158</v>
      </c>
    </row>
    <row r="7">
      <c r="A7" s="18" t="n">
        <v>-0.15</v>
      </c>
      <c r="B7" s="17" t="n">
        <v>250</v>
      </c>
      <c r="C7" s="18" t="n">
        <v>0.296</v>
      </c>
      <c r="D7" s="18" t="n">
        <v>0.6491</v>
      </c>
    </row>
    <row r="8">
      <c r="A8" s="18" t="n">
        <v>-0.2</v>
      </c>
      <c r="B8" s="17" t="n">
        <v>152</v>
      </c>
      <c r="C8" s="18" t="n">
        <v>0.3684</v>
      </c>
      <c r="D8" s="18" t="n">
        <v>0.4912</v>
      </c>
    </row>
    <row r="9">
      <c r="A9" s="18" t="n">
        <v>-0.25</v>
      </c>
      <c r="B9" s="17" t="n">
        <v>84</v>
      </c>
      <c r="C9" s="18" t="n">
        <v>0.4881</v>
      </c>
      <c r="D9" s="18" t="n">
        <v>0.3596</v>
      </c>
    </row>
  </sheetData>
  <mergeCells count="2">
    <mergeCell ref="A2:E2"/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4" customWidth="1" min="4" max="4"/>
  </cols>
  <sheetData>
    <row r="1" ht="22" customHeight="1">
      <c r="A1" s="1" t="inlineStr">
        <is>
          <t>Incidencias detectadas en la limpieza</t>
        </is>
      </c>
    </row>
    <row r="2">
      <c r="A2" s="2" t="inlineStr">
        <is>
          <t>Ninguna fila se descarta en silencio. Cada incidencia queda aquí con su referencia y su motivo.</t>
        </is>
      </c>
    </row>
    <row r="4" ht="30" customHeight="1">
      <c r="A4" s="3" t="inlineStr">
        <is>
          <t>campo</t>
        </is>
      </c>
      <c r="B4" s="3" t="inlineStr">
        <is>
          <t>motivo</t>
        </is>
      </c>
      <c r="C4" s="3" t="inlineStr">
        <is>
          <t>incidencias</t>
        </is>
      </c>
    </row>
    <row r="5">
      <c r="A5" s="4" t="inlineStr">
        <is>
          <t>precio_eur</t>
        </is>
      </c>
      <c r="B5" s="4" t="inlineStr">
        <is>
          <t>campo critico ausente -&gt; fila apartada</t>
        </is>
      </c>
      <c r="C5" s="4" t="n">
        <v>4</v>
      </c>
    </row>
    <row r="6">
      <c r="A6" s="4" t="inlineStr">
        <is>
          <t>precio_eur</t>
        </is>
      </c>
      <c r="B6" s="4" t="inlineStr">
        <is>
          <t>fuera de rango plausible [30000, 6000000]</t>
        </is>
      </c>
      <c r="C6" s="4" t="n">
        <v>4</v>
      </c>
    </row>
    <row r="8">
      <c r="A8" s="9" t="inlineStr">
        <is>
          <t>Detalle</t>
        </is>
      </c>
    </row>
    <row r="9" ht="30" customHeight="1">
      <c r="A9" s="3" t="inlineStr">
        <is>
          <t>ref</t>
        </is>
      </c>
      <c r="B9" s="3" t="inlineStr">
        <is>
          <t>campo</t>
        </is>
      </c>
      <c r="C9" s="3" t="inlineStr">
        <is>
          <t>motivo</t>
        </is>
      </c>
    </row>
    <row r="10">
      <c r="A10" s="4" t="inlineStr">
        <is>
          <t>MD-0188</t>
        </is>
      </c>
      <c r="B10" s="4" t="inlineStr">
        <is>
          <t>precio_eur</t>
        </is>
      </c>
      <c r="C10" s="4" t="inlineStr">
        <is>
          <t>fuera de rango plausible [30000, 6000000]</t>
        </is>
      </c>
    </row>
    <row r="11">
      <c r="A11" s="4" t="inlineStr">
        <is>
          <t>MD-0459</t>
        </is>
      </c>
      <c r="B11" s="4" t="inlineStr">
        <is>
          <t>precio_eur</t>
        </is>
      </c>
      <c r="C11" s="4" t="inlineStr">
        <is>
          <t>fuera de rango plausible [30000, 6000000]</t>
        </is>
      </c>
    </row>
    <row r="12">
      <c r="A12" s="4" t="inlineStr">
        <is>
          <t>MD-0959</t>
        </is>
      </c>
      <c r="B12" s="4" t="inlineStr">
        <is>
          <t>precio_eur</t>
        </is>
      </c>
      <c r="C12" s="4" t="inlineStr">
        <is>
          <t>fuera de rango plausible [30000, 6000000]</t>
        </is>
      </c>
    </row>
    <row r="13">
      <c r="A13" s="4" t="inlineStr">
        <is>
          <t>MD-1820</t>
        </is>
      </c>
      <c r="B13" s="4" t="inlineStr">
        <is>
          <t>precio_eur</t>
        </is>
      </c>
      <c r="C13" s="4" t="inlineStr">
        <is>
          <t>fuera de rango plausible [30000, 6000000]</t>
        </is>
      </c>
    </row>
    <row r="14">
      <c r="A14" s="4" t="inlineStr">
        <is>
          <t>MD-0188</t>
        </is>
      </c>
      <c r="B14" s="4" t="inlineStr">
        <is>
          <t>precio_eur</t>
        </is>
      </c>
      <c r="C14" s="4" t="inlineStr">
        <is>
          <t>campo critico ausente -&gt; fila apartada</t>
        </is>
      </c>
    </row>
    <row r="15">
      <c r="A15" s="4" t="inlineStr">
        <is>
          <t>MD-0459</t>
        </is>
      </c>
      <c r="B15" s="4" t="inlineStr">
        <is>
          <t>precio_eur</t>
        </is>
      </c>
      <c r="C15" s="4" t="inlineStr">
        <is>
          <t>campo critico ausente -&gt; fila apartada</t>
        </is>
      </c>
    </row>
    <row r="16">
      <c r="A16" s="4" t="inlineStr">
        <is>
          <t>MD-0959</t>
        </is>
      </c>
      <c r="B16" s="4" t="inlineStr">
        <is>
          <t>precio_eur</t>
        </is>
      </c>
      <c r="C16" s="4" t="inlineStr">
        <is>
          <t>campo critico ausente -&gt; fila apartada</t>
        </is>
      </c>
    </row>
    <row r="17">
      <c r="A17" s="4" t="inlineStr">
        <is>
          <t>MD-1820</t>
        </is>
      </c>
      <c r="B17" s="4" t="inlineStr">
        <is>
          <t>precio_eur</t>
        </is>
      </c>
      <c r="C17" s="4" t="inlineStr">
        <is>
          <t>campo critico ausente -&gt; fila apartada</t>
        </is>
      </c>
    </row>
  </sheetData>
  <mergeCells count="2">
    <mergeCell ref="A1:C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 ht="22" customHeight="1">
      <c r="A1" s="1" t="inlineStr">
        <is>
          <t>Supuestos, límites y fuentes</t>
        </is>
      </c>
    </row>
    <row r="3" ht="30" customHeight="1">
      <c r="A3" s="3" t="inlineStr">
        <is>
          <t>Tipo</t>
        </is>
      </c>
      <c r="B3" s="3" t="inlineStr">
        <is>
          <t>Descripción</t>
        </is>
      </c>
    </row>
    <row r="4" ht="42" customHeight="1">
      <c r="A4" s="25" t="inlineStr">
        <is>
          <t>SUPUESTO</t>
        </is>
      </c>
      <c r="B4" s="20" t="inlineStr">
        <is>
          <t>Los anuncios son sintéticos. Los términos de uso de los portales inmobiliarios prohíben el scraping, así que el corpus se genera artificialmente.</t>
        </is>
      </c>
    </row>
    <row r="5" ht="42" customHeight="1">
      <c r="A5" s="25" t="inlineStr">
        <is>
          <t>SUPUESTO</t>
        </is>
      </c>
      <c r="B5" s="20" t="inlineStr">
        <is>
          <t>El corpus se calibra con la distribución real de precio medio declarado y de superficies por distrito de Madrid (2022).</t>
        </is>
      </c>
    </row>
    <row r="6" ht="42" customHeight="1">
      <c r="A6" s="25" t="inlineStr">
        <is>
          <t>SUPUESTO</t>
        </is>
      </c>
      <c r="B6" s="20" t="inlineStr">
        <is>
          <t>Factor de actualización de 2022 a nivel 2026: 1.32. Se aplica igual a los 21 distritos, lo cual es falso: Madrid no se ha revalorizado de forma homogénea. No afecta a la lógica de comparables, que es relativa dentro de cada distrito.</t>
        </is>
      </c>
    </row>
    <row r="7" ht="42" customHeight="1">
      <c r="A7" s="25" t="inlineStr">
        <is>
          <t>SUPUESTO</t>
        </is>
      </c>
      <c r="B7" s="20" t="inlineStr">
        <is>
          <t>Comparable = mismo distrito, superficie ±20%, publicado en los 270 días anteriores. Mínimo 5 para emitir valoración.</t>
        </is>
      </c>
    </row>
    <row r="8" ht="42" customHeight="1">
      <c r="A8" s="26" t="inlineStr">
        <is>
          <t>LÍMITE</t>
        </is>
      </c>
      <c r="B8" s="20" t="inlineStr">
        <is>
          <t>El precio de referencia es el precio PEDIDO, no el de cierre. La desviación mide distancia a la oferta comparable, no descuento sobre valor de mercado real.</t>
        </is>
      </c>
    </row>
    <row r="9" ht="42" customHeight="1">
      <c r="A9" s="26" t="inlineStr">
        <is>
          <t>LÍMITE</t>
        </is>
      </c>
      <c r="B9" s="20" t="inlineStr">
        <is>
          <t>Las métricas se miden contra la verdad de terreno del corpus sintético. Demuestran que la mecánica funciona, no que el modelo acierte precios reales de Madrid.</t>
        </is>
      </c>
    </row>
    <row r="10" ht="42" customHeight="1">
      <c r="A10" s="26" t="inlineStr">
        <is>
          <t>LÍMITE</t>
        </is>
      </c>
      <c r="B10" s="20" t="inlineStr">
        <is>
          <t>Las desviaciones que el motor recupera se inyectaron al generar los datos. Es circular por construcción y no prueba capacidad predictiva.</t>
        </is>
      </c>
    </row>
    <row r="11" ht="42" customHeight="1">
      <c r="A11" s="26" t="inlineStr">
        <is>
          <t>LÍMITE</t>
        </is>
      </c>
      <c r="B11" s="20" t="inlineStr">
        <is>
          <t>La etiqueta de fiabilidad no discrimina en este corpus: el error está dominado por dispersión idiosincrática homogénea por construcción. Con datos reales debería discriminar; aquí no lo hace y se dice.</t>
        </is>
      </c>
    </row>
    <row r="12" ht="42" customHeight="1">
      <c r="A12" s="26" t="inlineStr">
        <is>
          <t>LÍMITE</t>
        </is>
      </c>
      <c r="B12" s="20" t="inlineStr">
        <is>
          <t>Sin datos personales de vendedores ni de terceros en ninguna fase del proceso.</t>
        </is>
      </c>
    </row>
    <row r="13" ht="42" customHeight="1">
      <c r="A13" s="27" t="inlineStr">
        <is>
          <t>FUENTE</t>
        </is>
      </c>
      <c r="B13" s="20" t="inlineStr">
        <is>
          <t>Precio medio declarado y transacciones por distrito, Madrid 2022 — Ayuntamiento de Madrid, Anuario Estadistico 2023, cap. 8 (Colegio de Registradores) (consultado 04/09/2026)</t>
        </is>
      </c>
    </row>
    <row r="14" ht="42" customHeight="1">
      <c r="A14" s="27" t="inlineStr">
        <is>
          <t>FUENTE</t>
        </is>
      </c>
      <c r="B14" s="20" t="inlineStr">
        <is>
          <t>Valor tasado de vivienda libre, Espana, 4T2022 y 1T2026 (factor de actualizacion) — Ministerio de Vivienda y Agenda Urbana, Estadistica de valor tasado de la vivienda (consultado 04/09/2026)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2026-09-07T21:41:40Z</dcterms:created>
  <dcterms:modified xsi:type="dcterms:W3CDTF">2026-09-07T21:41:41Z</dcterms:modified>
</cp:coreProperties>
</file>